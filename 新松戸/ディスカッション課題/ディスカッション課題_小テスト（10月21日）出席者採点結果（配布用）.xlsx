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13_ncr:1_{12D26ED9-ABDF-1342-9174-7ADA8FDBF735}" xr6:coauthVersionLast="47" xr6:coauthVersionMax="47" xr10:uidLastSave="{00000000-0000-0000-0000-000000000000}"/>
  <bookViews>
    <workbookView xWindow="1420" yWindow="4060" windowWidth="44860" windowHeight="28300" xr2:uid="{00000000-000D-0000-FFFF-FFFF00000000}"/>
  </bookViews>
  <sheets>
    <sheet name="バランス採点結果" sheetId="1" r:id="rId1"/>
    <sheet name="配点情報" sheetId="2" r:id="rId2"/>
    <sheet name="統計情報"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 l="1"/>
  <c r="J12" i="1"/>
  <c r="J14" i="1"/>
  <c r="J15" i="1"/>
  <c r="J17" i="1"/>
  <c r="J19" i="1"/>
  <c r="J24" i="1"/>
  <c r="J27" i="1"/>
  <c r="J29" i="1"/>
  <c r="J30" i="1"/>
  <c r="J31" i="1"/>
  <c r="J33" i="1"/>
  <c r="J37" i="1"/>
  <c r="J41" i="1"/>
  <c r="J46" i="1"/>
  <c r="J63" i="1"/>
  <c r="J48" i="1"/>
  <c r="J49" i="1"/>
  <c r="J50" i="1"/>
  <c r="J51" i="1"/>
  <c r="J53" i="1"/>
  <c r="J54" i="1"/>
  <c r="J55" i="1"/>
  <c r="J56" i="1"/>
  <c r="J57" i="1"/>
  <c r="J58" i="1"/>
  <c r="J6" i="1"/>
</calcChain>
</file>

<file path=xl/sharedStrings.xml><?xml version="1.0" encoding="utf-8"?>
<sst xmlns="http://schemas.openxmlformats.org/spreadsheetml/2006/main" count="637" uniqueCount="235">
  <si>
    <t>順位</t>
  </si>
  <si>
    <t>学籍番号</t>
  </si>
  <si>
    <t>1.1 (0.6点)</t>
  </si>
  <si>
    <t>1.2 (0.8点)</t>
  </si>
  <si>
    <t>1.3 (0.8点)</t>
  </si>
  <si>
    <t>1.4 (0.8点)</t>
  </si>
  <si>
    <t>問題合計</t>
  </si>
  <si>
    <t>ボーナス点</t>
  </si>
  <si>
    <t>ボーナス理由</t>
  </si>
  <si>
    <t>採点根拠</t>
  </si>
  <si>
    <t>良かった点</t>
  </si>
  <si>
    <t>改善すべき点</t>
  </si>
  <si>
    <t>アドバイス</t>
  </si>
  <si>
    <t/>
  </si>
  <si>
    <t>1911827</t>
  </si>
  <si>
    <t>2201058</t>
  </si>
  <si>
    <t>2201093</t>
  </si>
  <si>
    <t>2202015</t>
  </si>
  <si>
    <t>2202028</t>
  </si>
  <si>
    <t>全体的に回答が不完全で、2問が未回答。提出された回答も内容が薄く、ボーナス点を付与する要素が見当たらない。</t>
  </si>
  <si>
    <t>4問中2問が未回答で、回答済みの問題も内容が不十分。特に1.2は単語の羅列のみで説明がなく、1.1も表面的な感想に留まっている。課題への取り組み姿勢に大きな問題がある。</t>
  </si>
  <si>
    <t>講師の多様な経験について基本的な理解は示されており、「変化をチャンスと捉える」という重要な観点に触れている。</t>
  </si>
  <si>
    <t>未回答の問題を完成させること。回答済みの問題についても、単語の羅列ではなく具体的な説明や考察を加える必要がある。課題要求を正確に理解し、それに応じた回答を心がけること。</t>
  </si>
  <si>
    <t>まず全ての問題に回答することから始めてください。各問題で何が求められているかを明確にし、キーワードだけでなく、その内容や意味、関連性について具体的に説明することが重要です。</t>
  </si>
  <si>
    <t>2202030</t>
  </si>
  <si>
    <t>2202039</t>
  </si>
  <si>
    <t>課題の回答が全く提出されておらず、採点基準のみが記載されているため、ボーナス点を付与する根拠がない。</t>
  </si>
  <si>
    <t>課題指示書が文字化けで読み取れず、学生は課題回答ではなく採点基準を提出している。これは課題の根本的な誤解を示しており、評価対象となる内容が存在しない。</t>
  </si>
  <si>
    <t>採点基準の構成は体系的で詳細に記述されている。</t>
  </si>
  <si>
    <t>課題指示書を正しく読み取り、求められている回答内容を理解する必要がある。採点基準ではなく、実際の課題に対する回答を提出すること。</t>
  </si>
  <si>
    <t>まず課題指示書を再確認し、何が求められているかを正確に把握してください。その上で各問題に対する具体的な回答を作成し、理論的根拠と具体例を含めて論述してください。</t>
  </si>
  <si>
    <t>2202047</t>
  </si>
  <si>
    <t>2202059</t>
  </si>
  <si>
    <t>2202076</t>
  </si>
  <si>
    <t>2202077</t>
  </si>
  <si>
    <t>提出された回答は課題の半分しか完成しておらず、完成した部分も表面的な内容にとどまっているため、ボーナス点は付与しない。</t>
  </si>
  <si>
    <t>課題の半分（1.1と1.2の一部）のみ提出されており、提出された部分も基本的な理解にとどまっている。特に1.2では学生自身が重要な要素を認識しているにも関わらず、それを実行できていない点が問題である。</t>
  </si>
  <si>
    <t>ベンチャー企業の特徴について「失敗を恐れない」「未来を読み取る力」など基本的な理解は示されている。</t>
  </si>
  <si>
    <t>課題を完全に完成させること。特に1.3と1.4の未回答部分の対応が急務。また、ソーシャルビジネスの3つのサービスについて具体的に記述する必要がある。文章の構成と論理性も改善が必要。</t>
  </si>
  <si>
    <t>まず課題指示書を再度確認し、全ての問題に回答すること。各問題で求められている内容を具体的に把握し、理論的根拠と具体例を含めた回答を心がける。特に自分で重要と認識した点は必ず記述に含めること。</t>
  </si>
  <si>
    <t>2202092</t>
  </si>
  <si>
    <t>2202099</t>
  </si>
  <si>
    <t>講演内容を真摯に聞き取り、基本的な要求は満たしている。特に両講演者の共通メッセージとして「挑戦の大切さ」を抽出した点や、具体的なビジネス事例に興味を示した点で誠実な取り組みが認められる。</t>
  </si>
  <si>
    <t>講演内容の基本的な理解はできているが、全体的に表面的な記述に留まっている。各問題で求められる深い分析や批判的思考、具体例による裏付けが不足している。文章構成や表現にも改善の余地がある。</t>
  </si>
  <si>
    <t>両講演者の基本情報を整理し、共通メッセージとして「挑戦の大切さ」を抽出できている。具体的なビジネス事例に興味を示している。</t>
  </si>
  <si>
    <t>各概念の深い理解と分析が必要。具体例による説明の充実、批判的思考の導入、文章構成の改善が求められる。単なる感想ではなく、学術的な分析を心がけるべき。</t>
  </si>
  <si>
    <t>今後は講演内容をより深く分析し、なぜそのビジネスが成功するのか、社会にどのような影響を与えるのかを考察してください。具体例を用いた論理的な説明を心がけ、批判的な視点も取り入れましょう。</t>
  </si>
  <si>
    <t>2302010</t>
  </si>
  <si>
    <t>全問題で高水準の回答を維持し、講演内容を独自の視点で再構築。特に「感情を目的とする生き方」という一貫したテーマで全体を統合し、個人的な将来像と結びつけた卓越した洞察力を示している。</t>
  </si>
  <si>
    <t>講演の核心的メッセージを深く理解し、独自の視点で再構築した優秀な回答。渡辺さんと坂井さんの共通点の発見、ベンチャー精神の本質的理解、個人的な価値観との統合など、全体を通じて一貫した高い思考力を示している。</t>
  </si>
  <si>
    <t>講演内容を「感情を目的とする生き方」という独自の視点で統合し、個人的な将来像と結びつけた深い洞察力が優秀。</t>
  </si>
  <si>
    <t>一部の分析でより具体的なデータや事例の補強があれば、さらに説得力が増す。また、批判的な視点や課題への言及があるとより学術的になる。</t>
  </si>
  <si>
    <t>既に高い水準の思考力を示しているので、今後は学んだ概念を他の分野や実際の社会問題にも応用して考察を深めることで、さらに分析力を向上させることができる。</t>
  </si>
  <si>
    <t>2302012</t>
  </si>
  <si>
    <t>2302015</t>
  </si>
  <si>
    <t>全体を通して誠実に取り組んでおり、個人的な体験と関連付けて考察しようとする姿勢が認められる。特に1.3での共感的理解は評価できる。ただし、分析の深さや独創性には限界がある。</t>
  </si>
  <si>
    <t>基本的な理解はできており、個人的な体験や感想を交えながら内容を整理している。特にベンチャーの多面性や社会的意義について一定の理解を示している。しかし、より深い分析や批判的思考、独自の洞察が求められる。</t>
  </si>
  <si>
    <t>個人的体験との関連付けができており、特に1.3での共感的理解が印象的。ベンチャーの概念を多角的に捉えようとする姿勢も評価できる。</t>
  </si>
  <si>
    <t>情報の羅列に留まらず、より深い分析や考察を行う必要がある。論理的構成を意識し、学んだ内容を自分なりに体系化して理解を深めることが重要。批判的思考力の向上も課題。</t>
  </si>
  <si>
    <t>今後は「なぜそう思うのか」「どのような意味があるのか」をより深く考察することを心がけてください。個人的体験との関連付けは良いので、それをさらに発展させて社会的な視点からも分析してみてください。</t>
  </si>
  <si>
    <t>2302017</t>
  </si>
  <si>
    <t>2302020</t>
  </si>
  <si>
    <t>全体的に講演内容を適切に理解し、特に浮遊街のビジネスモデルについて詳細に記述している点、安定と挑戦の対比による本質的な分析を行っている点を評価。誠実な取り組みが認められる。</t>
  </si>
  <si>
    <t>講演内容を適切に理解し、各設問に対して基本的な要求を満たした回答ができている。特にビジネスモデルの理解と安定・挑戦の対比分析は良好。個人的な感想も率直で好感が持てる。</t>
  </si>
  <si>
    <t>講演内容の理解が適切で、特に浮遊街の独特なビジネスモデルを詳細に説明できている。安定と挑戦の対比による本質的な分析も評価できる。</t>
  </si>
  <si>
    <t>各設問でより具体的なエピソードや深い分析を加えることで、回答の質を向上させることができる。特に1.4では個人的な学びをより具体的に記述すると良い。</t>
  </si>
  <si>
    <t>今後は講演内容を自分の経験や知識と関連付けて考察することで、より深い洞察を得られる。また、複数の視点から物事を分析する習慣をつけると良い。</t>
  </si>
  <si>
    <t>2302023</t>
  </si>
  <si>
    <t>2302025</t>
  </si>
  <si>
    <t>2302028</t>
  </si>
  <si>
    <t>2302032</t>
  </si>
  <si>
    <t>2302038</t>
  </si>
  <si>
    <t>全体を通して誠実に取り組んでおり、特に1.2では概念理解を丁寧に説明している努力が認められる。基本的な要求は満たしているが、より深い分析や独自の視点は限定的である。</t>
  </si>
  <si>
    <t>各問題に対して基本的な回答はできているが、表面的な理解に留まる部分が多い。特に1.1では具体的な学びの抽出、1.3と1.4では深い分析や実践への展開が不足している。概念理解は示されているものの、批判的思考や独自の洞察をより発展させる必要がある。</t>
  </si>
  <si>
    <t>3ヶ月で腐る通貨について経済効果と課題の両面を考察している点、感情を軸とした生き方への理解を示している点が評価できる。</t>
  </si>
  <si>
    <t>各問題でより具体的な事例や根拠を示し、表面的な感想から深い分析へと発展させる必要がある。特に人物紹介からの学びの抽出と、概念の実践的応用についての考察を深めるべき。</t>
  </si>
  <si>
    <t>今後は「なぜそう思うのか」「どのように実践するのか」を常に問いかけ、具体例や根拠を用いて論理的に説明する習慣をつけましょう。また、批判的な視点も含めて多角的に分析することを心がけてください。</t>
  </si>
  <si>
    <t>2302039</t>
  </si>
  <si>
    <t>2302040</t>
  </si>
  <si>
    <t>2302053</t>
  </si>
  <si>
    <t>全体を通して講演内容を正確に理解し、独自の視点で分析している。特に「感情を目的にする」という概念への深い理解と、現代社会への批判的視点が優れている。文章構成も論理的で読みやすい。</t>
  </si>
  <si>
    <t>講演内容を正確に理解し、各設問に対して適切な分析と考察を展開している。特にベンチャー精神の本質や新しい経済モデルについての理解が深く、個人的な学びも明確に示されている。全体的に質の高いレポートである。</t>
  </si>
  <si>
    <t>講演の核心を的確に捉え、論理的な構成で分析している。「感情を目的にする」という概念への深い理解と現代的視点が優れている。</t>
  </si>
  <si>
    <t>1.4において、講演から得た学びをより具体的な行動計画や将来のキャリア設計に結びつけることで、さらに深い考察になる。個人的な体験との関連付けも効果的。</t>
  </si>
  <si>
    <t>優れた理解力と分析力を示している。今後は学んだ概念を実際の行動や意思決定にどう活かすかという実践的な視点を加えることで、さらに価値のある考察になるでしょう。</t>
  </si>
  <si>
    <t>2302054</t>
  </si>
  <si>
    <t>2302060</t>
  </si>
  <si>
    <t>全体を通して誠実な取り組みが見られ、講演内容を自分なりに消化して表現している。文章構成も整理されており、基本的な要求を上回る努力が認められる。</t>
  </si>
  <si>
    <t>講演内容を適切に理解し、自分なりの言葉で表現している。特に1.2では3つのポイントを整理して論述しており、構成力が評価できる。全体的に素直で誠実な回答だが、より深い分析や批判的思考があるとさらに良い。</t>
  </si>
  <si>
    <t>講演内容を自分なりに消化し、素直な感想と学びを表現している。文章構成が整理されており、読みやすい。</t>
  </si>
  <si>
    <t>具体的な根拠や事例の提示が不足している。表面的な感想に留まらず、より深い分析や批判的な視点を含めることで回答の質が向上する。</t>
  </si>
  <si>
    <t>今後は「なぜそう思うのか」の根拠を具体的に示し、講演内容と自分の経験を関連付けた分析を心がけてください。感想だけでなく、学術的な視点も取り入れましょう。</t>
  </si>
  <si>
    <t>2302062</t>
  </si>
  <si>
    <t>全体を通して誠実な取り組みが認められ、個人的な体験と講演内容を関連付けようとする姿勢が評価できる。基本的な要求は満たしている。</t>
  </si>
  <si>
    <t>講演内容の基本的な理解はあるが、理論的な深掘りや批判的分析が不足している。個人的な感想や体験談が中心となっており、学術的な考察が浅い。しかし、学んだ内容を自分の生き方に関連付けて考える姿勢は評価できる。</t>
  </si>
  <si>
    <t>個人的な体験と講演内容を関連付けて考察している点、学んだ内容から自身の生き方を見直そうとする姿勢が見られる点。</t>
  </si>
  <si>
    <t>理論的な分析の深化、具体的なデータや根拠の提示、批判的思考の向上、論理的な文章構成の改善が必要。感想文ではなく学術的なレポートとしての質を高める。</t>
  </si>
  <si>
    <t>今後は講演内容をより深く分析し、理論的な根拠を示しながら論述することを心がけてください。個人的な感想だけでなく、客観的な視点からの考察も加えることで、より質の高いレポートになります。</t>
  </si>
  <si>
    <t>2302069</t>
  </si>
  <si>
    <t>全体を通して講演内容を丁寧に理解し、具体例を適切に使用している。特にソーシャルビジネスの説明が詳細で、個人的な共感と将来への意欲も示されており、誠実な取り組みが認められる。</t>
  </si>
  <si>
    <t>講演内容を適切に理解し、各テーマについて具体例を交えながら説明している。特にソーシャルビジネスと浮遊街の概念について詳しく記述されており、講演者の人物像も的確に捉えている。個人的な感想も含め、全体的にバランスの取れた回答。</t>
  </si>
  <si>
    <t>具体例を豊富に使用し、講演内容の理解度が高い。特にソーシャルビジネスの説明が詳細で、個人的な共感も適切に表現されている。</t>
  </si>
  <si>
    <t>より深い批判的分析や独自の視点があれば良い。特に1.3では講演メッセージの背景にある社会課題についてより掘り下げた考察があると更に良い。1.4では具体的な行動計画の言及があると良い。</t>
  </si>
  <si>
    <t>講演内容の理解は十分なので、今後は自分なりの批判的視点や独自の解釈を加えることを意識してください。また、学んだことを具体的にどう活かすかまで言及すると更に良い回答になります。</t>
  </si>
  <si>
    <t>2302078</t>
  </si>
  <si>
    <t>2302086</t>
  </si>
  <si>
    <t>全体的に誠実な取り組みが認められ、特に1.2では論点を整理して体系的に記述する努力が見られる。基本的な理解は示されているが、独創性や深い洞察には至っていない。</t>
  </si>
  <si>
    <t>課題の基本的な要求は満たしているが、多くの部分で表面的な理解に留まっている。特に1.1と1.4では内容の深掘りが不足している。1.2では論点整理ができており、1.3では個人的な学びを示している点は評価できる。</t>
  </si>
  <si>
    <t>論点を整理して体系的に記述する能力があり、個人的な学びを具体的に表現できている。誠実な取り組み姿勢が感じられる。</t>
  </si>
  <si>
    <t>各内容についてより深い分析と批判的思考が必要。特に事例の背景にある理論や概念を掘り下げ、自分なりの考察を加えることで回答の質を向上させることができる。</t>
  </si>
  <si>
    <t>今後は「なぜそうなのか」「どのような意味があるのか」を常に問いかけながら学習を進めてください。表面的な情報収集だけでなく、背景にある理論や他の事例との比較分析を心がけると良いでしょう。</t>
  </si>
  <si>
    <t>2302091</t>
  </si>
  <si>
    <t>2302095</t>
  </si>
  <si>
    <t>2302146</t>
  </si>
  <si>
    <t>2302148</t>
  </si>
  <si>
    <t>全体を通して講演内容を正確に理解し、特に1.3では個人的な共感と具体的な行動指針を示すなど、標準以上の回答品質を示している。文章構成も明確で読みやすい。</t>
  </si>
  <si>
    <t>講演の核心的なメッセージを適切に理解し、各設問に対して具体的かつ的確な回答を提供している。特に「常識の外側に挑む」というベンチャー精神の理解と、個人的な共感・行動指針の提示が優れている。</t>
  </si>
  <si>
    <t>講演の要点を正確に捉え、個人的な共感と具体的な行動指針を示している点。文章構成が明確で論理的。</t>
  </si>
  <si>
    <t>より深い批判的分析や、講演内容と既存理論との関連付け、具体的な事例の詳細な検討があれば、さらに質の高い回答になる。</t>
  </si>
  <si>
    <t>今後は講演内容をより多角的に分析し、自分なりの批判的視点や新たな問題提起を加えることで、より深い学術的価値のある回答を目指してください。</t>
  </si>
  <si>
    <t>2302152</t>
  </si>
  <si>
    <t>2302153</t>
  </si>
  <si>
    <t>2302170</t>
  </si>
  <si>
    <t>2302181</t>
  </si>
  <si>
    <t>全体を通じて講演内容を正確に理解し、特に1.2では構造的な整理が優れている。個人的な学びと社会的意義を結びつけた考察も評価できる。標準以上の回答品質を示している。</t>
  </si>
  <si>
    <t>講演の主要なメッセージを適切に理解し、特にベンチャー精神、ソーシャルビジネス、感情を軸とした働き方について良好な考察を展開している。個人的な学びと社会的視点のバランスも取れており、全体的に充実した回答となっている。</t>
  </si>
  <si>
    <t>講演内容の正確な理解、構造的な整理能力、個人的な気づきと社会的意義の結びつけ、誠実な自己省察</t>
  </si>
  <si>
    <t>より深い批判的分析、独自の視点や洞察の追加、将来への具体的な応用や行動計画の提示、理論的背景との関連付けが不足している。</t>
  </si>
  <si>
    <t>優れた理解力を示しているので、次は「なぜそう思うのか」をより深く掘り下げ、他の理論や事例との比較、将来への具体的な応用方法を考察することで、さらに質の高い回答になるでしょう。</t>
  </si>
  <si>
    <t>2302189</t>
  </si>
  <si>
    <t>2302193</t>
  </si>
  <si>
    <t>2302195</t>
  </si>
  <si>
    <t>2401018</t>
  </si>
  <si>
    <t>2401178</t>
  </si>
  <si>
    <t>全体を通して誠実な取り組みが認められ、海外ベンチャーの特徴を一定程度理解している。文章構成も適切で、基本的な要求は満たしている。</t>
  </si>
  <si>
    <t>海外ベンチャー企業の基本的特徴は理解できているが、全体的に分析が表面的で具体性に欠ける。特に1.1は感想レベルに留まっている。1.2-1.4では適切な理解を示しているものの、より深い洞察や具体例が求められる。</t>
  </si>
  <si>
    <t>多様性、異文化理解、失敗への価値観など重要なポイントを適切に把握している。文章構成が整っており、日本との比較視点も含まれている。</t>
  </si>
  <si>
    <t>具体的な事例や理論的根拠の提示が不足している。特に1.1は感想に留まらず分析的な視点が必要。各回答でより深い洞察や批判的思考を示すことが求められる。</t>
  </si>
  <si>
    <t>今後は具体的な企業事例や統計データを用いて論証を強化し、理論と実践を結びつけた分析を心がけてください。感想ではなく客観的な分析を重視しましょう。</t>
  </si>
  <si>
    <t>2401180</t>
  </si>
  <si>
    <t>2401806</t>
  </si>
  <si>
    <t>全体的に誠実で丁寧な取り組みが見られ、各問題で要求された内容を適切に理解している。特に1.2では論点を明確に整理し、個人的な体験と関連付けた考察が優れている。文章構成も良好で、努力が認められる。</t>
  </si>
  <si>
    <t>講演内容を適切に理解し、各設問に対して真摯に取り組んでいる。特に論点整理と個人的な気づきの表現が優れている。留学生として日本語での表現力も十分であり、内容の理解度も高い。全体的にバランスの取れた良好な回答。</t>
  </si>
  <si>
    <t>論点の整理が明確で、個人的な体験と関連付けた考察が優れている。文章構成が良く、講演の核心的メッセージを的確に捉えている。</t>
  </si>
  <si>
    <t>より具体的な事例や詳細な分析を加えることで、さらに深い洞察を示すことができる。批判的思考や独自の視点をより明確に表現することが望ましい。</t>
  </si>
  <si>
    <t>今後は講演内容をより深く分析し、自分なりの批判的な視点を加えることを心がけてください。具体的な行動計画や将来のビジョンをより詳細に描くことで、さらに充実した回答になります。</t>
  </si>
  <si>
    <t>2402015</t>
  </si>
  <si>
    <t>全体を通して誠実な取り組みが見られ、自分の体験を交えながら回答している点を評価。ただし、深い分析や独創性には至っていない。</t>
  </si>
  <si>
    <t>各問題に対して基本的な要求は満たしているが、分析の深さや批判的思考が不足している。自分の体験を交えた回答は評価できるものの、理論的な裏付けや独自の洞察をより深めることが必要。</t>
  </si>
  <si>
    <t>自分の体験（バイト経験など）を具体例として活用し、誠実に取り組んでいる姿勢が評価できる。</t>
  </si>
  <si>
    <t>各キーワードやメッセージについてより深く分析し、理論的な根拠を示すことが必要。表面的な感想にとどまらず、批判的思考を働かせた考察を心がけること。</t>
  </si>
  <si>
    <t>今後は「なぜそう思うのか」「どのような根拠があるのか」を常に問いかけ、複数の視点から物事を分析する習慣を身につけることを推奨します。</t>
  </si>
  <si>
    <t>2402020</t>
  </si>
  <si>
    <t>講義内容を真摯に受け止め、自分なりの気づきや感想を述べる努力が認められる。特に価値観の変化や人間的成長について考察しようとする姿勢は評価できるが、分析の深さや論理性に課題がある。</t>
  </si>
  <si>
    <t>講義の基本的な内容は理解しているが、各テーマについての分析が表面的で、論理的な構成に欠ける。感想レベルの記述が多く、より深い考察と具体的な根拠に基づいた分析が求められる。文章構成も改善の余地がある。</t>
  </si>
  <si>
    <t>講義内容を真摯に受け止め、価値観の変化や人間的成長について自分なりに考察しようとする姿勢が見られる。</t>
  </si>
  <si>
    <t>各テーマについてより深く分析し、感想ではなく論理的な考察を行う。文章構成を整理し、具体例や根拠を用いた説明を心がける。誤字脱字の確認も必要。</t>
  </si>
  <si>
    <t>次回は各問いに対して、まず要点を整理してから自分の考えを述べる構成を心がけてください。「なぜそう思うのか」という根拠を明確にし、講義内容と自分の経験を関連付けた分析を行いましょう。</t>
  </si>
  <si>
    <t>2402024</t>
  </si>
  <si>
    <t>誠実に取り組んでいる姿勢は認められるが、全体的に分析が表面的で理論的深度が不足している。最低限の努力点として0.1点を付与。</t>
  </si>
  <si>
    <t>各問題に対して回答はしているものの、全体的に分析が表面的で理論的な理解が不足している。特に1.4は応用レベルの課題として不適切な回答レベル。感想中心の記述から、より分析的・批判的な思考への転換が必要。</t>
  </si>
  <si>
    <t>素直な感想を述べており、自身の考え方との比較を試みている点は評価できる。</t>
  </si>
  <si>
    <t>感想レベルから分析レベルへの転換が必要。理論的根拠や具体例を用いた論理的な説明、批判的思考の導入が求められる。特に応用問題では深い考察が不可欠。</t>
  </si>
  <si>
    <t>今後は「なぜそう思うのか」「どのような意義があるのか」を常に問い、理論と実例を組み合わせた論理的な分析を心がけてください。感想だけでなく、学術的な視点からの考察を加えましょう。</t>
  </si>
  <si>
    <t>2402071</t>
  </si>
  <si>
    <t>1.1のみの提出で他の問題が未回答のため、ボーナス点の対象とならない。課題の完全性が著しく欠如している。</t>
  </si>
  <si>
    <t>4問中1問のみの提出という重大な不備がある。提出された1.1についても講義メモの域を出ておらず、学術的な分析や考察が不足している。課題指示書の要求を十分に理解していない可能性が高い。</t>
  </si>
  <si>
    <t>講義内容を詳細に記録し、重要なキーワードや概念を漏らさず捉えている点は評価できる。</t>
  </si>
  <si>
    <t>最も重要な改善点は全問題への回答。また1.1についても単なる記録ではなく、自身の分析や考察を加えた学術的な回答が必要。課題指示書の詳細な確認が不可欠。</t>
  </si>
  <si>
    <t>まず課題指示書を再確認し、全問題に回答すること。各問題で求められている内容を明確に把握し、講義内容を基に自身の分析や考察を展開する必要がある。メモから学術的レポートへの転換を図ること。</t>
  </si>
  <si>
    <t>2402097</t>
  </si>
  <si>
    <t>2402138</t>
  </si>
  <si>
    <t>全体的に誠実な取り組みが認められ、特に1.4では個人的な体験と講演内容を結び付けた良好な考察が見られる。基本的な要求は満たしている。</t>
  </si>
  <si>
    <t>講演内容の基本的な理解は示されているが、各テーマについてより深い分析や批判的思考が求められる。個人的な体験との関連付けは良好だが、理論的な裏付けや具体的な事例分析が不足している。</t>
  </si>
  <si>
    <t>個人的な体験（祖父の認知症）と講演内容を結び付けた考察が印象的。誠実な取り組み姿勢が感じられる。</t>
  </si>
  <si>
    <t>各概念の本質的な理解を深め、具体的な事例や数値データを用いた分析が必要。表面的な記述から脱却し、批判的思考を取り入れた考察を心がけるべき。</t>
  </si>
  <si>
    <t>講演内容をより詳細に分析し、理論的背景や社会的意義について深く考察することを推奨。個人的な体験との関連付けは良いが、それをより学術的な視点で発展させることが重要。</t>
  </si>
  <si>
    <t>2402139</t>
  </si>
  <si>
    <t>講演内容を真摯に受け止め、自身の考えの変化を素直に表現している点で努力が認められる。基本的な理解はできており、誠実な取り組み姿勢が見られる。</t>
  </si>
  <si>
    <t>講演内容の基本的な理解はできているが、全体的に分析が表面的で具体性に欠ける。特に人物描写や概念説明において、より詳細な記述と深い洞察が求められる。ただし、学習に対する真摯な姿勢は評価できる。</t>
  </si>
  <si>
    <t>講演を通じて自身の考えが変化したことを率直に表現し、学習に対する素直な姿勢が見られる点が良い。</t>
  </si>
  <si>
    <t>各設問において、より具体的な事例や詳細な分析を加える必要がある。特に人物描写では具体的なエピソードを、概念説明では理論的な背景をより深く掘り下げることが重要。</t>
  </si>
  <si>
    <t>今後は講演内容をより詳細にメモを取り、各概念について「なぜそうなのか」という理由まで考察することを心がけてください。また、自身の経験と関連付けた分析を加えると良いでしょう。</t>
  </si>
  <si>
    <t>2402153</t>
  </si>
  <si>
    <t>全体を通じて講演内容を正確に理解し、各問題で求められる要素を適切に満たしている。特に論点整理が明確で、自分なりの考察も含まれており、標準以上の回答品質を示している。</t>
  </si>
  <si>
    <t>講演の主要なテーマを正確に把握し、各問題の要求に応じて適切に論述している。特に1.2の論点整理は体系的で優れており、個人的な気づきも含めた考察ができている。全体的にバランスの取れた良好な回答である。</t>
  </si>
  <si>
    <t>講演内容の正確な理解、論点の明確な整理、具体例の適切な活用、個人的な気づきとの関連付けができている。</t>
  </si>
  <si>
    <t>より批判的な視点や独自の分析、他の事例との比較検討があれば、さらに深い考察になる。また、社会的な意義についてもう少し掘り下げた議論があると良い。</t>
  </si>
  <si>
    <t>今回の基本的な理解は十分できているので、次は講演内容を他の理論や事例と関連付けて考察したり、批判的な視点から問題点も指摘するなど、より高次の思考を意識してみてください。</t>
  </si>
  <si>
    <t>2402160</t>
  </si>
  <si>
    <t>講義内容を真摯に聞き取り、要点を整理しようとする姿勢が認められる。特に1.2では複数の事例を適切に記録している努力が評価できる。</t>
  </si>
  <si>
    <t>講義の基本的な内容は理解できているが、1.4が未回答であることが大きく影響している。提出された部分については、要点の整理はできているものの、より深い分析や独自の視点が不足している。全体的に表面的な理解に留まっている印象。</t>
  </si>
  <si>
    <t>講義内容を丁寧に聞き取り、ソーシャルビジネスの具体例や浮遊街の仕組みを適切に記録している。文章も読みやすく整理されている。</t>
  </si>
  <si>
    <t>1.4の問題が未回答である点が最大の問題。また、各問題でより深い分析や批判的思考、独自の視点を加える必要がある。具体例をもとにした考察を深めることが重要。</t>
  </si>
  <si>
    <t>まず全ての問題に回答することを心がけてください。また、講義内容をただまとめるだけでなく、自分なりの解釈や疑問、関連する事例などを加えることで、より質の高いレポートになります。</t>
  </si>
  <si>
    <t>2402167</t>
  </si>
  <si>
    <t>1.2と1.3で良好な理解と表現力を示しており、特に概念整理と個人的考察において誠実な取り組みが認められる。全体的な回答品質は標準以上。</t>
  </si>
  <si>
    <t>講演内容の理解については1.2と1.3で良好な成果を示している。特にベンチャーやソーシャルビジネスの概念整理、感情重視の価値観についての考察は評価できる。一方、1.1と1.4では内容が不十分で改善の余地がある。</t>
  </si>
  <si>
    <t>概念の本質を捉える理解力と、自分なりの解釈を加える思考力が優れている。特に意味価値に関する考察は深い。</t>
  </si>
  <si>
    <t>1.1では講演者への感想をより具体的に、1.4では興味を持った理由と学びを詳しく説明する必要がある。文章の完結性も改善が必要。</t>
  </si>
  <si>
    <t>良い理解力を持っているので、各設問の要求を正確に把握し、具体的な根拠や理由を示しながら回答することで、さらに高い評価が期待できる。</t>
  </si>
  <si>
    <t>2402179</t>
  </si>
  <si>
    <t>全体を通して講演内容を丁寧に理解し、個人的な感想と学術的な分析のバランスが取れている。特に1.2の論点整理は構造的で優れており、標準以上の回答品質を示している。</t>
  </si>
  <si>
    <t>講演内容を適切に理解し、個人的な感想と分析的視点を組み合わせた良好な回答。特に論点整理と具体例の活用が優れている。ただし、より批判的な視点や深い洞察があれば更に優秀な回答になる。</t>
  </si>
  <si>
    <t>講演内容の具体的な理解、論点の明確な整理、個人的な感想と学びの表現が適切。構成も論理的で読みやすい。</t>
  </si>
  <si>
    <t>より批判的な分析視点、講演内容への疑問や課題の指摘、将来への具体的な行動計画の提示があれば更に深い回答になる。表面的な感想を超えた洞察が欲しい。</t>
  </si>
  <si>
    <t>感想だけでなく、講演内容に対する疑問や異なる視点も含めてみてください。また、学んだことを具体的にどう活かすかの行動計画を示すと更に良い回答になります。</t>
  </si>
  <si>
    <t>問題番号</t>
  </si>
  <si>
    <t>問題名</t>
  </si>
  <si>
    <t>難易度</t>
  </si>
  <si>
    <t>満点</t>
  </si>
  <si>
    <t>配点理由</t>
  </si>
  <si>
    <t>1.1</t>
  </si>
  <si>
    <t>基礎</t>
  </si>
  <si>
    <t>基本的な定義や概念の確認問題と推測されるため、配点は低めに設定。基礎知識の理解度を測る問題。</t>
  </si>
  <si>
    <t>1.2</t>
  </si>
  <si>
    <t>標準</t>
  </si>
  <si>
    <t>理論の適用や事例分析を求める標準的な問題と想定。中程度の思考力と理解力が必要な問題。</t>
  </si>
  <si>
    <t>1.3</t>
  </si>
  <si>
    <t>複数の概念を組み合わせた分析や説明を求める標準レベルの問題。論理的思考力を測定する問題。</t>
  </si>
  <si>
    <t>1.4</t>
  </si>
  <si>
    <t>応用</t>
  </si>
  <si>
    <t>批判的思考や創造的な提案を求める応用問題。最も高度な思考力と総合的な理解力が必要な問題。</t>
  </si>
  <si>
    <t>項目</t>
  </si>
  <si>
    <t>値</t>
  </si>
  <si>
    <t>総学生数</t>
  </si>
  <si>
    <t>提出者数</t>
  </si>
  <si>
    <t>未提出者数</t>
  </si>
  <si>
    <t>平均点</t>
  </si>
  <si>
    <t>最高点</t>
  </si>
  <si>
    <t>最低点</t>
  </si>
  <si>
    <t>平均ボーナス点</t>
  </si>
  <si>
    <t>ボーナス付与人数</t>
  </si>
  <si>
    <t>基準点</t>
    <rPh sb="0" eb="3">
      <t xml:space="preserve">キジュンテｎ </t>
    </rPh>
    <phoneticPr fontId="1"/>
  </si>
  <si>
    <t>最終成績</t>
    <rPh sb="0" eb="4">
      <t>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</si>
</sst>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4">
    <font>
      <sz val="12"/>
      <color theme="1"/>
      <name val="ＭＳ Ｐゴシック"/>
      <family val="2"/>
      <scheme val="minor"/>
    </font>
    <font>
      <sz val="6"/>
      <name val="ＭＳ Ｐゴシック"/>
      <family val="3"/>
      <charset val="128"/>
      <scheme val="minor"/>
    </font>
    <font>
      <sz val="12"/>
      <color rgb="FFFF0000"/>
      <name val="ＭＳ Ｐゴシック"/>
      <family val="2"/>
      <scheme val="minor"/>
    </font>
    <font>
      <sz val="12"/>
      <color rgb="FFFF0000"/>
      <name val="ＭＳ Ｐゴシック"/>
      <family val="2"/>
      <charset val="128"/>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0">
    <xf numFmtId="0" fontId="0" fillId="0" borderId="0" xfId="0"/>
    <xf numFmtId="0" fontId="0" fillId="0" borderId="0" xfId="0" applyAlignment="1">
      <alignment wrapText="1"/>
    </xf>
    <xf numFmtId="176" fontId="2" fillId="0" borderId="0" xfId="0" applyNumberFormat="1" applyFont="1"/>
    <xf numFmtId="0" fontId="0" fillId="2" borderId="2" xfId="0" applyFill="1" applyBorder="1"/>
    <xf numFmtId="0" fontId="0" fillId="2" borderId="3" xfId="0" applyFill="1" applyBorder="1"/>
    <xf numFmtId="176" fontId="2" fillId="2" borderId="3" xfId="0" applyNumberFormat="1" applyFont="1" applyFill="1" applyBorder="1"/>
    <xf numFmtId="0" fontId="0" fillId="2" borderId="3" xfId="0" applyFill="1" applyBorder="1" applyAlignment="1">
      <alignment wrapText="1"/>
    </xf>
    <xf numFmtId="0" fontId="0" fillId="2" borderId="4" xfId="0" applyFill="1" applyBorder="1" applyAlignment="1">
      <alignment wrapText="1"/>
    </xf>
    <xf numFmtId="0" fontId="0" fillId="0" borderId="1" xfId="0" applyBorder="1"/>
    <xf numFmtId="176" fontId="2" fillId="0" borderId="1" xfId="0" applyNumberFormat="1" applyFont="1" applyBorder="1"/>
    <xf numFmtId="0" fontId="0" fillId="0" borderId="1" xfId="0" applyBorder="1" applyAlignment="1">
      <alignment wrapText="1"/>
    </xf>
    <xf numFmtId="0" fontId="0" fillId="0" borderId="5" xfId="0" applyBorder="1"/>
    <xf numFmtId="0" fontId="0" fillId="0" borderId="6" xfId="0" applyBorder="1"/>
    <xf numFmtId="176" fontId="2" fillId="0" borderId="6" xfId="0" applyNumberFormat="1" applyFont="1" applyBorder="1"/>
    <xf numFmtId="0" fontId="0" fillId="0" borderId="6" xfId="0" applyBorder="1" applyAlignment="1">
      <alignment wrapText="1"/>
    </xf>
    <xf numFmtId="0" fontId="0" fillId="0" borderId="7" xfId="0" applyBorder="1" applyAlignment="1">
      <alignment wrapText="1"/>
    </xf>
    <xf numFmtId="0" fontId="0" fillId="0" borderId="8" xfId="0" applyBorder="1"/>
    <xf numFmtId="0" fontId="0" fillId="0" borderId="9" xfId="0" applyBorder="1" applyAlignment="1">
      <alignment wrapText="1"/>
    </xf>
    <xf numFmtId="0" fontId="0" fillId="0" borderId="10" xfId="0" applyBorder="1"/>
    <xf numFmtId="0" fontId="0" fillId="0" borderId="11" xfId="0" applyBorder="1"/>
    <xf numFmtId="176" fontId="2" fillId="0" borderId="11" xfId="0" applyNumberFormat="1" applyFont="1" applyBorder="1"/>
    <xf numFmtId="0" fontId="0" fillId="0" borderId="11" xfId="0" applyBorder="1" applyAlignment="1">
      <alignment wrapText="1"/>
    </xf>
    <xf numFmtId="0" fontId="0" fillId="0" borderId="12" xfId="0" applyBorder="1" applyAlignment="1">
      <alignment wrapText="1"/>
    </xf>
    <xf numFmtId="0" fontId="2" fillId="0" borderId="1" xfId="0" applyFont="1" applyBorder="1"/>
    <xf numFmtId="0" fontId="2" fillId="0" borderId="8" xfId="0" applyFont="1" applyBorder="1"/>
    <xf numFmtId="0" fontId="3" fillId="0" borderId="1" xfId="0" applyFont="1" applyBorder="1"/>
    <xf numFmtId="176" fontId="3" fillId="0" borderId="1" xfId="0" applyNumberFormat="1" applyFont="1" applyBorder="1"/>
    <xf numFmtId="0" fontId="3" fillId="0" borderId="1" xfId="0" applyFont="1" applyBorder="1" applyAlignment="1">
      <alignment wrapText="1"/>
    </xf>
    <xf numFmtId="0" fontId="3" fillId="0" borderId="9" xfId="0" applyFont="1" applyBorder="1" applyAlignment="1">
      <alignment wrapText="1"/>
    </xf>
    <xf numFmtId="0" fontId="3" fillId="0" borderId="0" xfId="0" applyFont="1"/>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63"/>
  <sheetViews>
    <sheetView tabSelected="1" topLeftCell="B1" workbookViewId="0">
      <selection activeCell="A58" sqref="A1:O58"/>
    </sheetView>
  </sheetViews>
  <sheetFormatPr baseColWidth="10" defaultRowHeight="15"/>
  <cols>
    <col min="1" max="1" width="4.83203125" customWidth="1"/>
    <col min="2" max="2" width="9.83203125" customWidth="1"/>
    <col min="3" max="6" width="12.83203125" customWidth="1"/>
    <col min="7" max="7" width="10" bestFit="1" customWidth="1"/>
    <col min="8" max="8" width="11.5" bestFit="1" customWidth="1"/>
    <col min="9" max="9" width="10" bestFit="1" customWidth="1"/>
    <col min="10" max="10" width="10" style="2" customWidth="1"/>
    <col min="11" max="15" width="50.83203125" style="1" customWidth="1"/>
  </cols>
  <sheetData>
    <row r="1" spans="1:15" ht="17" thickBot="1">
      <c r="A1" s="3" t="s">
        <v>0</v>
      </c>
      <c r="B1" s="4" t="s">
        <v>1</v>
      </c>
      <c r="C1" s="4" t="s">
        <v>2</v>
      </c>
      <c r="D1" s="4" t="s">
        <v>3</v>
      </c>
      <c r="E1" s="4" t="s">
        <v>4</v>
      </c>
      <c r="F1" s="4" t="s">
        <v>5</v>
      </c>
      <c r="G1" s="4" t="s">
        <v>6</v>
      </c>
      <c r="H1" s="4" t="s">
        <v>7</v>
      </c>
      <c r="I1" s="4" t="s">
        <v>233</v>
      </c>
      <c r="J1" s="5" t="s">
        <v>234</v>
      </c>
      <c r="K1" s="6" t="s">
        <v>8</v>
      </c>
      <c r="L1" s="6" t="s">
        <v>9</v>
      </c>
      <c r="M1" s="6" t="s">
        <v>10</v>
      </c>
      <c r="N1" s="6" t="s">
        <v>11</v>
      </c>
      <c r="O1" s="7" t="s">
        <v>12</v>
      </c>
    </row>
    <row r="2" spans="1:15" ht="16">
      <c r="A2" s="11" t="s">
        <v>13</v>
      </c>
      <c r="B2" s="12" t="s">
        <v>14</v>
      </c>
      <c r="C2" s="12" t="s">
        <v>13</v>
      </c>
      <c r="D2" s="12" t="s">
        <v>13</v>
      </c>
      <c r="E2" s="12" t="s">
        <v>13</v>
      </c>
      <c r="F2" s="12" t="s">
        <v>13</v>
      </c>
      <c r="G2" s="12" t="s">
        <v>13</v>
      </c>
      <c r="H2" s="12" t="s">
        <v>13</v>
      </c>
      <c r="I2" s="12" t="s">
        <v>13</v>
      </c>
      <c r="J2" s="13"/>
      <c r="K2" s="14" t="s">
        <v>13</v>
      </c>
      <c r="L2" s="14" t="s">
        <v>13</v>
      </c>
      <c r="M2" s="14" t="s">
        <v>13</v>
      </c>
      <c r="N2" s="14" t="s">
        <v>13</v>
      </c>
      <c r="O2" s="15" t="s">
        <v>13</v>
      </c>
    </row>
    <row r="3" spans="1:15" ht="16">
      <c r="A3" s="16" t="s">
        <v>13</v>
      </c>
      <c r="B3" s="8" t="s">
        <v>15</v>
      </c>
      <c r="C3" s="8" t="s">
        <v>13</v>
      </c>
      <c r="D3" s="8" t="s">
        <v>13</v>
      </c>
      <c r="E3" s="8" t="s">
        <v>13</v>
      </c>
      <c r="F3" s="8" t="s">
        <v>13</v>
      </c>
      <c r="G3" s="8"/>
      <c r="H3" s="8" t="s">
        <v>13</v>
      </c>
      <c r="I3" s="8" t="s">
        <v>13</v>
      </c>
      <c r="J3" s="9"/>
      <c r="K3" s="10" t="s">
        <v>13</v>
      </c>
      <c r="L3" s="10" t="s">
        <v>13</v>
      </c>
      <c r="M3" s="10" t="s">
        <v>13</v>
      </c>
      <c r="N3" s="10" t="s">
        <v>13</v>
      </c>
      <c r="O3" s="17" t="s">
        <v>13</v>
      </c>
    </row>
    <row r="4" spans="1:15" ht="16">
      <c r="A4" s="16" t="s">
        <v>13</v>
      </c>
      <c r="B4" s="8" t="s">
        <v>16</v>
      </c>
      <c r="C4" s="8" t="s">
        <v>13</v>
      </c>
      <c r="D4" s="8" t="s">
        <v>13</v>
      </c>
      <c r="E4" s="8" t="s">
        <v>13</v>
      </c>
      <c r="F4" s="8" t="s">
        <v>13</v>
      </c>
      <c r="G4" s="8" t="s">
        <v>13</v>
      </c>
      <c r="H4" s="8" t="s">
        <v>13</v>
      </c>
      <c r="I4" s="8" t="s">
        <v>13</v>
      </c>
      <c r="J4" s="9"/>
      <c r="K4" s="10" t="s">
        <v>13</v>
      </c>
      <c r="L4" s="10" t="s">
        <v>13</v>
      </c>
      <c r="M4" s="10" t="s">
        <v>13</v>
      </c>
      <c r="N4" s="10" t="s">
        <v>13</v>
      </c>
      <c r="O4" s="17" t="s">
        <v>13</v>
      </c>
    </row>
    <row r="5" spans="1:15" ht="16">
      <c r="A5" s="16" t="s">
        <v>13</v>
      </c>
      <c r="B5" s="8" t="s">
        <v>17</v>
      </c>
      <c r="C5" s="8" t="s">
        <v>13</v>
      </c>
      <c r="D5" s="8" t="s">
        <v>13</v>
      </c>
      <c r="E5" s="8" t="s">
        <v>13</v>
      </c>
      <c r="F5" s="8" t="s">
        <v>13</v>
      </c>
      <c r="G5" s="8" t="s">
        <v>13</v>
      </c>
      <c r="H5" s="8" t="s">
        <v>13</v>
      </c>
      <c r="I5" s="8" t="s">
        <v>13</v>
      </c>
      <c r="J5" s="9"/>
      <c r="K5" s="10" t="s">
        <v>13</v>
      </c>
      <c r="L5" s="10" t="s">
        <v>13</v>
      </c>
      <c r="M5" s="10" t="s">
        <v>13</v>
      </c>
      <c r="N5" s="10" t="s">
        <v>13</v>
      </c>
      <c r="O5" s="17" t="s">
        <v>13</v>
      </c>
    </row>
    <row r="6" spans="1:15" ht="64">
      <c r="A6" s="16">
        <v>25</v>
      </c>
      <c r="B6" s="8" t="s">
        <v>18</v>
      </c>
      <c r="C6" s="8">
        <v>0.32</v>
      </c>
      <c r="D6" s="8">
        <v>0.16</v>
      </c>
      <c r="E6" s="8">
        <v>0</v>
      </c>
      <c r="F6" s="8">
        <v>0</v>
      </c>
      <c r="G6" s="8">
        <v>0.48</v>
      </c>
      <c r="H6" s="8">
        <v>0</v>
      </c>
      <c r="I6" s="8">
        <v>0.48</v>
      </c>
      <c r="J6" s="9">
        <f>I6*(7/3)</f>
        <v>1.1200000000000001</v>
      </c>
      <c r="K6" s="10" t="s">
        <v>19</v>
      </c>
      <c r="L6" s="10" t="s">
        <v>20</v>
      </c>
      <c r="M6" s="10" t="s">
        <v>21</v>
      </c>
      <c r="N6" s="10" t="s">
        <v>22</v>
      </c>
      <c r="O6" s="17" t="s">
        <v>23</v>
      </c>
    </row>
    <row r="7" spans="1:15" ht="16">
      <c r="A7" s="16" t="s">
        <v>13</v>
      </c>
      <c r="B7" s="8" t="s">
        <v>24</v>
      </c>
      <c r="C7" s="8" t="s">
        <v>13</v>
      </c>
      <c r="D7" s="8" t="s">
        <v>13</v>
      </c>
      <c r="E7" s="8" t="s">
        <v>13</v>
      </c>
      <c r="F7" s="8" t="s">
        <v>13</v>
      </c>
      <c r="G7" s="8" t="s">
        <v>13</v>
      </c>
      <c r="H7" s="8" t="s">
        <v>13</v>
      </c>
      <c r="I7" s="8" t="s">
        <v>13</v>
      </c>
      <c r="J7" s="9"/>
      <c r="K7" s="10" t="s">
        <v>13</v>
      </c>
      <c r="L7" s="10" t="s">
        <v>13</v>
      </c>
      <c r="M7" s="10" t="s">
        <v>13</v>
      </c>
      <c r="N7" s="10" t="s">
        <v>13</v>
      </c>
      <c r="O7" s="17" t="s">
        <v>13</v>
      </c>
    </row>
    <row r="8" spans="1:15" ht="48">
      <c r="A8" s="16">
        <v>27</v>
      </c>
      <c r="B8" s="8" t="s">
        <v>25</v>
      </c>
      <c r="C8" s="8">
        <v>0</v>
      </c>
      <c r="D8" s="8">
        <v>0</v>
      </c>
      <c r="E8" s="8">
        <v>0</v>
      </c>
      <c r="F8" s="8">
        <v>0</v>
      </c>
      <c r="G8" s="8">
        <v>0</v>
      </c>
      <c r="H8" s="8">
        <v>0</v>
      </c>
      <c r="I8" s="8">
        <v>0</v>
      </c>
      <c r="J8" s="9">
        <f t="shared" ref="J8:J58" si="0">I8*(7/3)</f>
        <v>0</v>
      </c>
      <c r="K8" s="10" t="s">
        <v>26</v>
      </c>
      <c r="L8" s="10" t="s">
        <v>27</v>
      </c>
      <c r="M8" s="10" t="s">
        <v>28</v>
      </c>
      <c r="N8" s="10" t="s">
        <v>29</v>
      </c>
      <c r="O8" s="17" t="s">
        <v>30</v>
      </c>
    </row>
    <row r="9" spans="1:15" ht="16">
      <c r="A9" s="16" t="s">
        <v>13</v>
      </c>
      <c r="B9" s="8" t="s">
        <v>31</v>
      </c>
      <c r="C9" s="8" t="s">
        <v>13</v>
      </c>
      <c r="D9" s="8" t="s">
        <v>13</v>
      </c>
      <c r="E9" s="8" t="s">
        <v>13</v>
      </c>
      <c r="F9" s="8" t="s">
        <v>13</v>
      </c>
      <c r="G9" s="8" t="s">
        <v>13</v>
      </c>
      <c r="H9" s="8" t="s">
        <v>13</v>
      </c>
      <c r="I9" s="8" t="s">
        <v>13</v>
      </c>
      <c r="J9" s="9"/>
      <c r="K9" s="10" t="s">
        <v>13</v>
      </c>
      <c r="L9" s="10" t="s">
        <v>13</v>
      </c>
      <c r="M9" s="10" t="s">
        <v>13</v>
      </c>
      <c r="N9" s="10" t="s">
        <v>13</v>
      </c>
      <c r="O9" s="17" t="s">
        <v>13</v>
      </c>
    </row>
    <row r="10" spans="1:15" ht="16">
      <c r="A10" s="16" t="s">
        <v>13</v>
      </c>
      <c r="B10" s="8" t="s">
        <v>32</v>
      </c>
      <c r="C10" s="8" t="s">
        <v>13</v>
      </c>
      <c r="D10" s="8" t="s">
        <v>13</v>
      </c>
      <c r="E10" s="8" t="s">
        <v>13</v>
      </c>
      <c r="F10" s="8" t="s">
        <v>13</v>
      </c>
      <c r="G10" s="8" t="s">
        <v>13</v>
      </c>
      <c r="H10" s="8" t="s">
        <v>13</v>
      </c>
      <c r="I10" s="8" t="s">
        <v>13</v>
      </c>
      <c r="J10" s="9"/>
      <c r="K10" s="10" t="s">
        <v>13</v>
      </c>
      <c r="L10" s="10" t="s">
        <v>13</v>
      </c>
      <c r="M10" s="10" t="s">
        <v>13</v>
      </c>
      <c r="N10" s="10" t="s">
        <v>13</v>
      </c>
      <c r="O10" s="17" t="s">
        <v>13</v>
      </c>
    </row>
    <row r="11" spans="1:15" ht="16">
      <c r="A11" s="16" t="s">
        <v>13</v>
      </c>
      <c r="B11" s="8" t="s">
        <v>33</v>
      </c>
      <c r="C11" s="8" t="s">
        <v>13</v>
      </c>
      <c r="D11" s="8" t="s">
        <v>13</v>
      </c>
      <c r="E11" s="8" t="s">
        <v>13</v>
      </c>
      <c r="F11" s="8" t="s">
        <v>13</v>
      </c>
      <c r="G11" s="8" t="s">
        <v>13</v>
      </c>
      <c r="H11" s="8" t="s">
        <v>13</v>
      </c>
      <c r="I11" s="8" t="s">
        <v>13</v>
      </c>
      <c r="J11" s="9"/>
      <c r="K11" s="10" t="s">
        <v>13</v>
      </c>
      <c r="L11" s="10" t="s">
        <v>13</v>
      </c>
      <c r="M11" s="10" t="s">
        <v>13</v>
      </c>
      <c r="N11" s="10" t="s">
        <v>13</v>
      </c>
      <c r="O11" s="17" t="s">
        <v>13</v>
      </c>
    </row>
    <row r="12" spans="1:15" ht="64">
      <c r="A12" s="16">
        <v>24</v>
      </c>
      <c r="B12" s="8" t="s">
        <v>34</v>
      </c>
      <c r="C12" s="8">
        <v>0.32</v>
      </c>
      <c r="D12" s="8">
        <v>0.2</v>
      </c>
      <c r="E12" s="8">
        <v>0</v>
      </c>
      <c r="F12" s="8">
        <v>0</v>
      </c>
      <c r="G12" s="8">
        <v>0.52</v>
      </c>
      <c r="H12" s="8">
        <v>0</v>
      </c>
      <c r="I12" s="8">
        <v>0.52</v>
      </c>
      <c r="J12" s="9">
        <f t="shared" si="0"/>
        <v>1.2133333333333334</v>
      </c>
      <c r="K12" s="10" t="s">
        <v>35</v>
      </c>
      <c r="L12" s="10" t="s">
        <v>36</v>
      </c>
      <c r="M12" s="10" t="s">
        <v>37</v>
      </c>
      <c r="N12" s="10" t="s">
        <v>38</v>
      </c>
      <c r="O12" s="17" t="s">
        <v>39</v>
      </c>
    </row>
    <row r="13" spans="1:15" ht="16">
      <c r="A13" s="16" t="s">
        <v>13</v>
      </c>
      <c r="B13" s="8" t="s">
        <v>40</v>
      </c>
      <c r="C13" s="8" t="s">
        <v>13</v>
      </c>
      <c r="D13" s="8" t="s">
        <v>13</v>
      </c>
      <c r="E13" s="8" t="s">
        <v>13</v>
      </c>
      <c r="F13" s="8" t="s">
        <v>13</v>
      </c>
      <c r="G13" s="8" t="s">
        <v>13</v>
      </c>
      <c r="H13" s="8" t="s">
        <v>13</v>
      </c>
      <c r="I13" s="8" t="s">
        <v>13</v>
      </c>
      <c r="J13" s="9"/>
      <c r="K13" s="10" t="s">
        <v>13</v>
      </c>
      <c r="L13" s="10" t="s">
        <v>13</v>
      </c>
      <c r="M13" s="10" t="s">
        <v>13</v>
      </c>
      <c r="N13" s="10" t="s">
        <v>13</v>
      </c>
      <c r="O13" s="17" t="s">
        <v>13</v>
      </c>
    </row>
    <row r="14" spans="1:15" ht="64">
      <c r="A14" s="16">
        <v>21</v>
      </c>
      <c r="B14" s="8" t="s">
        <v>41</v>
      </c>
      <c r="C14" s="8">
        <v>0.36</v>
      </c>
      <c r="D14" s="8">
        <v>0.48</v>
      </c>
      <c r="E14" s="8">
        <v>0.4</v>
      </c>
      <c r="F14" s="8">
        <v>0.32</v>
      </c>
      <c r="G14" s="8">
        <v>1.56</v>
      </c>
      <c r="H14" s="8">
        <v>0.1</v>
      </c>
      <c r="I14" s="8">
        <v>1.66</v>
      </c>
      <c r="J14" s="9">
        <f t="shared" si="0"/>
        <v>3.8733333333333335</v>
      </c>
      <c r="K14" s="10" t="s">
        <v>42</v>
      </c>
      <c r="L14" s="10" t="s">
        <v>43</v>
      </c>
      <c r="M14" s="10" t="s">
        <v>44</v>
      </c>
      <c r="N14" s="10" t="s">
        <v>45</v>
      </c>
      <c r="O14" s="17" t="s">
        <v>46</v>
      </c>
    </row>
    <row r="15" spans="1:15" ht="64">
      <c r="A15" s="16">
        <v>1</v>
      </c>
      <c r="B15" s="8" t="s">
        <v>47</v>
      </c>
      <c r="C15" s="8">
        <v>0.57999999999999996</v>
      </c>
      <c r="D15" s="8">
        <v>0.76</v>
      </c>
      <c r="E15" s="8">
        <v>0.72</v>
      </c>
      <c r="F15" s="8">
        <v>0.74</v>
      </c>
      <c r="G15" s="8">
        <v>2.8</v>
      </c>
      <c r="H15" s="8">
        <v>0.4</v>
      </c>
      <c r="I15" s="8">
        <v>3.2</v>
      </c>
      <c r="J15" s="9">
        <f t="shared" si="0"/>
        <v>7.4666666666666677</v>
      </c>
      <c r="K15" s="10" t="s">
        <v>48</v>
      </c>
      <c r="L15" s="10" t="s">
        <v>49</v>
      </c>
      <c r="M15" s="10" t="s">
        <v>50</v>
      </c>
      <c r="N15" s="10" t="s">
        <v>51</v>
      </c>
      <c r="O15" s="17" t="s">
        <v>52</v>
      </c>
    </row>
    <row r="16" spans="1:15" ht="16">
      <c r="A16" s="16" t="s">
        <v>13</v>
      </c>
      <c r="B16" s="8" t="s">
        <v>53</v>
      </c>
      <c r="C16" s="8" t="s">
        <v>13</v>
      </c>
      <c r="D16" s="8" t="s">
        <v>13</v>
      </c>
      <c r="E16" s="8" t="s">
        <v>13</v>
      </c>
      <c r="F16" s="8" t="s">
        <v>13</v>
      </c>
      <c r="G16" s="8" t="s">
        <v>13</v>
      </c>
      <c r="H16" s="8" t="s">
        <v>13</v>
      </c>
      <c r="I16" s="8" t="s">
        <v>13</v>
      </c>
      <c r="J16" s="9"/>
      <c r="K16" s="10" t="s">
        <v>13</v>
      </c>
      <c r="L16" s="10" t="s">
        <v>13</v>
      </c>
      <c r="M16" s="10" t="s">
        <v>13</v>
      </c>
      <c r="N16" s="10" t="s">
        <v>13</v>
      </c>
      <c r="O16" s="17" t="s">
        <v>13</v>
      </c>
    </row>
    <row r="17" spans="1:15" ht="64">
      <c r="A17" s="16">
        <v>12</v>
      </c>
      <c r="B17" s="8" t="s">
        <v>54</v>
      </c>
      <c r="C17" s="8">
        <v>0.44</v>
      </c>
      <c r="D17" s="8">
        <v>0.56000000000000005</v>
      </c>
      <c r="E17" s="8">
        <v>0.54</v>
      </c>
      <c r="F17" s="8">
        <v>0.46</v>
      </c>
      <c r="G17" s="8">
        <v>2</v>
      </c>
      <c r="H17" s="8">
        <v>0.1</v>
      </c>
      <c r="I17" s="8">
        <v>2.1</v>
      </c>
      <c r="J17" s="9">
        <f t="shared" si="0"/>
        <v>4.9000000000000004</v>
      </c>
      <c r="K17" s="10" t="s">
        <v>55</v>
      </c>
      <c r="L17" s="10" t="s">
        <v>56</v>
      </c>
      <c r="M17" s="10" t="s">
        <v>57</v>
      </c>
      <c r="N17" s="10" t="s">
        <v>58</v>
      </c>
      <c r="O17" s="17" t="s">
        <v>59</v>
      </c>
    </row>
    <row r="18" spans="1:15" ht="16">
      <c r="A18" s="16" t="s">
        <v>13</v>
      </c>
      <c r="B18" s="8" t="s">
        <v>60</v>
      </c>
      <c r="C18" s="8" t="s">
        <v>13</v>
      </c>
      <c r="D18" s="8" t="s">
        <v>13</v>
      </c>
      <c r="E18" s="8" t="s">
        <v>13</v>
      </c>
      <c r="F18" s="8" t="s">
        <v>13</v>
      </c>
      <c r="G18" s="8" t="s">
        <v>13</v>
      </c>
      <c r="H18" s="8" t="s">
        <v>13</v>
      </c>
      <c r="I18" s="8" t="s">
        <v>13</v>
      </c>
      <c r="J18" s="9"/>
      <c r="K18" s="10" t="s">
        <v>13</v>
      </c>
      <c r="L18" s="10" t="s">
        <v>13</v>
      </c>
      <c r="M18" s="10" t="s">
        <v>13</v>
      </c>
      <c r="N18" s="10" t="s">
        <v>13</v>
      </c>
      <c r="O18" s="17" t="s">
        <v>13</v>
      </c>
    </row>
    <row r="19" spans="1:15" ht="64">
      <c r="A19" s="16">
        <v>9</v>
      </c>
      <c r="B19" s="8" t="s">
        <v>61</v>
      </c>
      <c r="C19" s="8">
        <v>0.44</v>
      </c>
      <c r="D19" s="8">
        <v>0.6</v>
      </c>
      <c r="E19" s="8">
        <v>0.56000000000000005</v>
      </c>
      <c r="F19" s="8">
        <v>0.48</v>
      </c>
      <c r="G19" s="8">
        <v>2.08</v>
      </c>
      <c r="H19" s="8">
        <v>0.2</v>
      </c>
      <c r="I19" s="8">
        <v>2.2799999999999998</v>
      </c>
      <c r="J19" s="9">
        <f t="shared" si="0"/>
        <v>5.32</v>
      </c>
      <c r="K19" s="10" t="s">
        <v>62</v>
      </c>
      <c r="L19" s="10" t="s">
        <v>63</v>
      </c>
      <c r="M19" s="10" t="s">
        <v>64</v>
      </c>
      <c r="N19" s="10" t="s">
        <v>65</v>
      </c>
      <c r="O19" s="17" t="s">
        <v>66</v>
      </c>
    </row>
    <row r="20" spans="1:15" ht="16">
      <c r="A20" s="16" t="s">
        <v>13</v>
      </c>
      <c r="B20" s="8" t="s">
        <v>67</v>
      </c>
      <c r="C20" s="8" t="s">
        <v>13</v>
      </c>
      <c r="D20" s="8" t="s">
        <v>13</v>
      </c>
      <c r="E20" s="8" t="s">
        <v>13</v>
      </c>
      <c r="F20" s="8" t="s">
        <v>13</v>
      </c>
      <c r="G20" s="8" t="s">
        <v>13</v>
      </c>
      <c r="H20" s="8" t="s">
        <v>13</v>
      </c>
      <c r="I20" s="8" t="s">
        <v>13</v>
      </c>
      <c r="J20" s="9"/>
      <c r="K20" s="10" t="s">
        <v>13</v>
      </c>
      <c r="L20" s="10" t="s">
        <v>13</v>
      </c>
      <c r="M20" s="10" t="s">
        <v>13</v>
      </c>
      <c r="N20" s="10" t="s">
        <v>13</v>
      </c>
      <c r="O20" s="17" t="s">
        <v>13</v>
      </c>
    </row>
    <row r="21" spans="1:15" ht="16">
      <c r="A21" s="16" t="s">
        <v>13</v>
      </c>
      <c r="B21" s="8" t="s">
        <v>68</v>
      </c>
      <c r="C21" s="8" t="s">
        <v>13</v>
      </c>
      <c r="D21" s="8" t="s">
        <v>13</v>
      </c>
      <c r="E21" s="8" t="s">
        <v>13</v>
      </c>
      <c r="F21" s="8" t="s">
        <v>13</v>
      </c>
      <c r="G21" s="8" t="s">
        <v>13</v>
      </c>
      <c r="H21" s="8" t="s">
        <v>13</v>
      </c>
      <c r="I21" s="8" t="s">
        <v>13</v>
      </c>
      <c r="J21" s="9"/>
      <c r="K21" s="10" t="s">
        <v>13</v>
      </c>
      <c r="L21" s="10" t="s">
        <v>13</v>
      </c>
      <c r="M21" s="10" t="s">
        <v>13</v>
      </c>
      <c r="N21" s="10" t="s">
        <v>13</v>
      </c>
      <c r="O21" s="17" t="s">
        <v>13</v>
      </c>
    </row>
    <row r="22" spans="1:15" ht="16">
      <c r="A22" s="16" t="s">
        <v>13</v>
      </c>
      <c r="B22" s="8" t="s">
        <v>69</v>
      </c>
      <c r="C22" s="8" t="s">
        <v>13</v>
      </c>
      <c r="D22" s="8" t="s">
        <v>13</v>
      </c>
      <c r="E22" s="8" t="s">
        <v>13</v>
      </c>
      <c r="F22" s="8" t="s">
        <v>13</v>
      </c>
      <c r="G22" s="8" t="s">
        <v>13</v>
      </c>
      <c r="H22" s="8" t="s">
        <v>13</v>
      </c>
      <c r="I22" s="8" t="s">
        <v>13</v>
      </c>
      <c r="J22" s="9"/>
      <c r="K22" s="10" t="s">
        <v>13</v>
      </c>
      <c r="L22" s="10" t="s">
        <v>13</v>
      </c>
      <c r="M22" s="10" t="s">
        <v>13</v>
      </c>
      <c r="N22" s="10" t="s">
        <v>13</v>
      </c>
      <c r="O22" s="17" t="s">
        <v>13</v>
      </c>
    </row>
    <row r="23" spans="1:15" ht="16">
      <c r="A23" s="16" t="s">
        <v>13</v>
      </c>
      <c r="B23" s="8" t="s">
        <v>70</v>
      </c>
      <c r="C23" s="8" t="s">
        <v>13</v>
      </c>
      <c r="D23" s="8" t="s">
        <v>13</v>
      </c>
      <c r="E23" s="8" t="s">
        <v>13</v>
      </c>
      <c r="F23" s="8" t="s">
        <v>13</v>
      </c>
      <c r="G23" s="8" t="s">
        <v>13</v>
      </c>
      <c r="H23" s="8" t="s">
        <v>13</v>
      </c>
      <c r="I23" s="8" t="s">
        <v>13</v>
      </c>
      <c r="J23" s="9"/>
      <c r="K23" s="10" t="s">
        <v>13</v>
      </c>
      <c r="L23" s="10" t="s">
        <v>13</v>
      </c>
      <c r="M23" s="10" t="s">
        <v>13</v>
      </c>
      <c r="N23" s="10" t="s">
        <v>13</v>
      </c>
      <c r="O23" s="17" t="s">
        <v>13</v>
      </c>
    </row>
    <row r="24" spans="1:15" ht="80">
      <c r="A24" s="16">
        <v>19</v>
      </c>
      <c r="B24" s="8" t="s">
        <v>71</v>
      </c>
      <c r="C24" s="8">
        <v>0.32</v>
      </c>
      <c r="D24" s="8">
        <v>0.56000000000000005</v>
      </c>
      <c r="E24" s="8">
        <v>0.48</v>
      </c>
      <c r="F24" s="8">
        <v>0.36</v>
      </c>
      <c r="G24" s="8">
        <v>1.72</v>
      </c>
      <c r="H24" s="8">
        <v>0.1</v>
      </c>
      <c r="I24" s="8">
        <v>1.82</v>
      </c>
      <c r="J24" s="9">
        <f t="shared" si="0"/>
        <v>4.246666666666667</v>
      </c>
      <c r="K24" s="10" t="s">
        <v>72</v>
      </c>
      <c r="L24" s="10" t="s">
        <v>73</v>
      </c>
      <c r="M24" s="10" t="s">
        <v>74</v>
      </c>
      <c r="N24" s="10" t="s">
        <v>75</v>
      </c>
      <c r="O24" s="17" t="s">
        <v>76</v>
      </c>
    </row>
    <row r="25" spans="1:15" ht="16">
      <c r="A25" s="16" t="s">
        <v>13</v>
      </c>
      <c r="B25" s="8" t="s">
        <v>77</v>
      </c>
      <c r="C25" s="8" t="s">
        <v>13</v>
      </c>
      <c r="D25" s="8" t="s">
        <v>13</v>
      </c>
      <c r="E25" s="8" t="s">
        <v>13</v>
      </c>
      <c r="F25" s="8" t="s">
        <v>13</v>
      </c>
      <c r="G25" s="8" t="s">
        <v>13</v>
      </c>
      <c r="H25" s="8" t="s">
        <v>13</v>
      </c>
      <c r="I25" s="8" t="s">
        <v>13</v>
      </c>
      <c r="J25" s="9"/>
      <c r="K25" s="10" t="s">
        <v>13</v>
      </c>
      <c r="L25" s="10" t="s">
        <v>13</v>
      </c>
      <c r="M25" s="10" t="s">
        <v>13</v>
      </c>
      <c r="N25" s="10" t="s">
        <v>13</v>
      </c>
      <c r="O25" s="17" t="s">
        <v>13</v>
      </c>
    </row>
    <row r="26" spans="1:15" ht="16">
      <c r="A26" s="16" t="s">
        <v>13</v>
      </c>
      <c r="B26" s="8" t="s">
        <v>78</v>
      </c>
      <c r="C26" s="8" t="s">
        <v>13</v>
      </c>
      <c r="D26" s="8" t="s">
        <v>13</v>
      </c>
      <c r="E26" s="8" t="s">
        <v>13</v>
      </c>
      <c r="F26" s="8" t="s">
        <v>13</v>
      </c>
      <c r="G26" s="8" t="s">
        <v>13</v>
      </c>
      <c r="H26" s="8" t="s">
        <v>13</v>
      </c>
      <c r="I26" s="8" t="s">
        <v>13</v>
      </c>
      <c r="J26" s="9"/>
      <c r="K26" s="10" t="s">
        <v>13</v>
      </c>
      <c r="L26" s="10" t="s">
        <v>13</v>
      </c>
      <c r="M26" s="10" t="s">
        <v>13</v>
      </c>
      <c r="N26" s="10" t="s">
        <v>13</v>
      </c>
      <c r="O26" s="17" t="s">
        <v>13</v>
      </c>
    </row>
    <row r="27" spans="1:15" ht="64">
      <c r="A27" s="16">
        <v>2</v>
      </c>
      <c r="B27" s="8" t="s">
        <v>79</v>
      </c>
      <c r="C27" s="8">
        <v>0.52</v>
      </c>
      <c r="D27" s="8">
        <v>0.7</v>
      </c>
      <c r="E27" s="8">
        <v>0.64</v>
      </c>
      <c r="F27" s="8">
        <v>0.6</v>
      </c>
      <c r="G27" s="8">
        <v>2.46</v>
      </c>
      <c r="H27" s="8">
        <v>0.3</v>
      </c>
      <c r="I27" s="8">
        <v>2.76</v>
      </c>
      <c r="J27" s="9">
        <f t="shared" si="0"/>
        <v>6.4399999999999995</v>
      </c>
      <c r="K27" s="10" t="s">
        <v>80</v>
      </c>
      <c r="L27" s="10" t="s">
        <v>81</v>
      </c>
      <c r="M27" s="10" t="s">
        <v>82</v>
      </c>
      <c r="N27" s="10" t="s">
        <v>83</v>
      </c>
      <c r="O27" s="17" t="s">
        <v>84</v>
      </c>
    </row>
    <row r="28" spans="1:15" ht="16">
      <c r="A28" s="16" t="s">
        <v>13</v>
      </c>
      <c r="B28" s="8" t="s">
        <v>85</v>
      </c>
      <c r="C28" s="8" t="s">
        <v>13</v>
      </c>
      <c r="D28" s="8" t="s">
        <v>13</v>
      </c>
      <c r="E28" s="8" t="s">
        <v>13</v>
      </c>
      <c r="F28" s="8" t="s">
        <v>13</v>
      </c>
      <c r="G28" s="8" t="s">
        <v>13</v>
      </c>
      <c r="H28" s="8" t="s">
        <v>13</v>
      </c>
      <c r="I28" s="8" t="s">
        <v>13</v>
      </c>
      <c r="J28" s="9"/>
      <c r="K28" s="10" t="s">
        <v>13</v>
      </c>
      <c r="L28" s="10" t="s">
        <v>13</v>
      </c>
      <c r="M28" s="10" t="s">
        <v>13</v>
      </c>
      <c r="N28" s="10" t="s">
        <v>13</v>
      </c>
      <c r="O28" s="17" t="s">
        <v>13</v>
      </c>
    </row>
    <row r="29" spans="1:15" ht="64">
      <c r="A29" s="16">
        <v>13</v>
      </c>
      <c r="B29" s="8" t="s">
        <v>86</v>
      </c>
      <c r="C29" s="8">
        <v>0.4</v>
      </c>
      <c r="D29" s="8">
        <v>0.57999999999999996</v>
      </c>
      <c r="E29" s="8">
        <v>0.46</v>
      </c>
      <c r="F29" s="8">
        <v>0.44</v>
      </c>
      <c r="G29" s="8">
        <v>1.88</v>
      </c>
      <c r="H29" s="8">
        <v>0.1</v>
      </c>
      <c r="I29" s="8">
        <v>1.98</v>
      </c>
      <c r="J29" s="9">
        <f t="shared" si="0"/>
        <v>4.62</v>
      </c>
      <c r="K29" s="10" t="s">
        <v>87</v>
      </c>
      <c r="L29" s="10" t="s">
        <v>88</v>
      </c>
      <c r="M29" s="10" t="s">
        <v>89</v>
      </c>
      <c r="N29" s="10" t="s">
        <v>90</v>
      </c>
      <c r="O29" s="17" t="s">
        <v>91</v>
      </c>
    </row>
    <row r="30" spans="1:15" ht="64">
      <c r="A30" s="16">
        <v>14</v>
      </c>
      <c r="B30" s="8" t="s">
        <v>92</v>
      </c>
      <c r="C30" s="8">
        <v>0.4</v>
      </c>
      <c r="D30" s="8">
        <v>0.48</v>
      </c>
      <c r="E30" s="8">
        <v>0.44</v>
      </c>
      <c r="F30" s="8">
        <v>0.54</v>
      </c>
      <c r="G30" s="8">
        <v>1.86</v>
      </c>
      <c r="H30" s="8">
        <v>0.1</v>
      </c>
      <c r="I30" s="8">
        <v>1.96</v>
      </c>
      <c r="J30" s="9">
        <f t="shared" si="0"/>
        <v>4.5733333333333333</v>
      </c>
      <c r="K30" s="10" t="s">
        <v>93</v>
      </c>
      <c r="L30" s="10" t="s">
        <v>94</v>
      </c>
      <c r="M30" s="10" t="s">
        <v>95</v>
      </c>
      <c r="N30" s="10" t="s">
        <v>96</v>
      </c>
      <c r="O30" s="17" t="s">
        <v>97</v>
      </c>
    </row>
    <row r="31" spans="1:15" ht="80">
      <c r="A31" s="16">
        <v>8</v>
      </c>
      <c r="B31" s="8" t="s">
        <v>98</v>
      </c>
      <c r="C31" s="8">
        <v>0.48</v>
      </c>
      <c r="D31" s="8">
        <v>0.64</v>
      </c>
      <c r="E31" s="8">
        <v>0.57999999999999996</v>
      </c>
      <c r="F31" s="8">
        <v>0.54</v>
      </c>
      <c r="G31" s="8">
        <v>2.2400000000000002</v>
      </c>
      <c r="H31" s="8">
        <v>0.2</v>
      </c>
      <c r="I31" s="8">
        <v>2.44</v>
      </c>
      <c r="J31" s="9">
        <f t="shared" si="0"/>
        <v>5.6933333333333334</v>
      </c>
      <c r="K31" s="10" t="s">
        <v>99</v>
      </c>
      <c r="L31" s="10" t="s">
        <v>100</v>
      </c>
      <c r="M31" s="10" t="s">
        <v>101</v>
      </c>
      <c r="N31" s="10" t="s">
        <v>102</v>
      </c>
      <c r="O31" s="17" t="s">
        <v>103</v>
      </c>
    </row>
    <row r="32" spans="1:15" ht="16">
      <c r="A32" s="16" t="s">
        <v>13</v>
      </c>
      <c r="B32" s="8" t="s">
        <v>104</v>
      </c>
      <c r="C32" s="8" t="s">
        <v>13</v>
      </c>
      <c r="D32" s="8" t="s">
        <v>13</v>
      </c>
      <c r="E32" s="8" t="s">
        <v>13</v>
      </c>
      <c r="F32" s="8" t="s">
        <v>13</v>
      </c>
      <c r="G32" s="8" t="s">
        <v>13</v>
      </c>
      <c r="H32" s="8" t="s">
        <v>13</v>
      </c>
      <c r="I32" s="8" t="s">
        <v>13</v>
      </c>
      <c r="J32" s="9"/>
      <c r="K32" s="10" t="s">
        <v>13</v>
      </c>
      <c r="L32" s="10" t="s">
        <v>13</v>
      </c>
      <c r="M32" s="10" t="s">
        <v>13</v>
      </c>
      <c r="N32" s="10" t="s">
        <v>13</v>
      </c>
      <c r="O32" s="17" t="s">
        <v>13</v>
      </c>
    </row>
    <row r="33" spans="1:15" ht="64">
      <c r="A33" s="16">
        <v>16</v>
      </c>
      <c r="B33" s="8" t="s">
        <v>105</v>
      </c>
      <c r="C33" s="8">
        <v>0.4</v>
      </c>
      <c r="D33" s="8">
        <v>0.54</v>
      </c>
      <c r="E33" s="8">
        <v>0.54</v>
      </c>
      <c r="F33" s="8">
        <v>0.32</v>
      </c>
      <c r="G33" s="8">
        <v>1.8</v>
      </c>
      <c r="H33" s="8">
        <v>0.1</v>
      </c>
      <c r="I33" s="8">
        <v>1.9</v>
      </c>
      <c r="J33" s="9">
        <f t="shared" si="0"/>
        <v>4.4333333333333336</v>
      </c>
      <c r="K33" s="10" t="s">
        <v>106</v>
      </c>
      <c r="L33" s="10" t="s">
        <v>107</v>
      </c>
      <c r="M33" s="10" t="s">
        <v>108</v>
      </c>
      <c r="N33" s="10" t="s">
        <v>109</v>
      </c>
      <c r="O33" s="17" t="s">
        <v>110</v>
      </c>
    </row>
    <row r="34" spans="1:15" ht="16">
      <c r="A34" s="16" t="s">
        <v>13</v>
      </c>
      <c r="B34" s="8" t="s">
        <v>111</v>
      </c>
      <c r="C34" s="8" t="s">
        <v>13</v>
      </c>
      <c r="D34" s="8" t="s">
        <v>13</v>
      </c>
      <c r="E34" s="8" t="s">
        <v>13</v>
      </c>
      <c r="F34" s="8" t="s">
        <v>13</v>
      </c>
      <c r="G34" s="8" t="s">
        <v>13</v>
      </c>
      <c r="H34" s="8" t="s">
        <v>13</v>
      </c>
      <c r="I34" s="8" t="s">
        <v>13</v>
      </c>
      <c r="J34" s="9"/>
      <c r="K34" s="10" t="s">
        <v>13</v>
      </c>
      <c r="L34" s="10" t="s">
        <v>13</v>
      </c>
      <c r="M34" s="10" t="s">
        <v>13</v>
      </c>
      <c r="N34" s="10" t="s">
        <v>13</v>
      </c>
      <c r="O34" s="17" t="s">
        <v>13</v>
      </c>
    </row>
    <row r="35" spans="1:15" ht="16">
      <c r="A35" s="16" t="s">
        <v>13</v>
      </c>
      <c r="B35" s="8" t="s">
        <v>112</v>
      </c>
      <c r="C35" s="8" t="s">
        <v>13</v>
      </c>
      <c r="D35" s="8" t="s">
        <v>13</v>
      </c>
      <c r="E35" s="8" t="s">
        <v>13</v>
      </c>
      <c r="F35" s="8" t="s">
        <v>13</v>
      </c>
      <c r="G35" s="8" t="s">
        <v>13</v>
      </c>
      <c r="H35" s="8" t="s">
        <v>13</v>
      </c>
      <c r="I35" s="8" t="s">
        <v>13</v>
      </c>
      <c r="J35" s="9"/>
      <c r="K35" s="10" t="s">
        <v>13</v>
      </c>
      <c r="L35" s="10" t="s">
        <v>13</v>
      </c>
      <c r="M35" s="10" t="s">
        <v>13</v>
      </c>
      <c r="N35" s="10" t="s">
        <v>13</v>
      </c>
      <c r="O35" s="17" t="s">
        <v>13</v>
      </c>
    </row>
    <row r="36" spans="1:15" ht="16">
      <c r="A36" s="16" t="s">
        <v>13</v>
      </c>
      <c r="B36" s="8" t="s">
        <v>113</v>
      </c>
      <c r="C36" s="8" t="s">
        <v>13</v>
      </c>
      <c r="D36" s="8" t="s">
        <v>13</v>
      </c>
      <c r="E36" s="8" t="s">
        <v>13</v>
      </c>
      <c r="F36" s="8" t="s">
        <v>13</v>
      </c>
      <c r="G36" s="8" t="s">
        <v>13</v>
      </c>
      <c r="H36" s="8" t="s">
        <v>13</v>
      </c>
      <c r="I36" s="8" t="s">
        <v>13</v>
      </c>
      <c r="J36" s="9"/>
      <c r="K36" s="10" t="s">
        <v>13</v>
      </c>
      <c r="L36" s="10" t="s">
        <v>13</v>
      </c>
      <c r="M36" s="10" t="s">
        <v>13</v>
      </c>
      <c r="N36" s="10" t="s">
        <v>13</v>
      </c>
      <c r="O36" s="17" t="s">
        <v>13</v>
      </c>
    </row>
    <row r="37" spans="1:15" ht="64">
      <c r="A37" s="16">
        <v>6</v>
      </c>
      <c r="B37" s="8" t="s">
        <v>114</v>
      </c>
      <c r="C37" s="8">
        <v>0.48</v>
      </c>
      <c r="D37" s="8">
        <v>0.64</v>
      </c>
      <c r="E37" s="8">
        <v>0.7</v>
      </c>
      <c r="F37" s="8">
        <v>0.54</v>
      </c>
      <c r="G37" s="8">
        <v>2.36</v>
      </c>
      <c r="H37" s="8">
        <v>0.2</v>
      </c>
      <c r="I37" s="8">
        <v>2.56</v>
      </c>
      <c r="J37" s="9">
        <f t="shared" si="0"/>
        <v>5.9733333333333336</v>
      </c>
      <c r="K37" s="10" t="s">
        <v>115</v>
      </c>
      <c r="L37" s="10" t="s">
        <v>116</v>
      </c>
      <c r="M37" s="10" t="s">
        <v>117</v>
      </c>
      <c r="N37" s="10" t="s">
        <v>118</v>
      </c>
      <c r="O37" s="17" t="s">
        <v>119</v>
      </c>
    </row>
    <row r="38" spans="1:15" ht="16">
      <c r="A38" s="16" t="s">
        <v>13</v>
      </c>
      <c r="B38" s="8" t="s">
        <v>120</v>
      </c>
      <c r="C38" s="8" t="s">
        <v>13</v>
      </c>
      <c r="D38" s="8" t="s">
        <v>13</v>
      </c>
      <c r="E38" s="8" t="s">
        <v>13</v>
      </c>
      <c r="F38" s="8" t="s">
        <v>13</v>
      </c>
      <c r="G38" s="8" t="s">
        <v>13</v>
      </c>
      <c r="H38" s="8" t="s">
        <v>13</v>
      </c>
      <c r="I38" s="8" t="s">
        <v>13</v>
      </c>
      <c r="J38" s="9"/>
      <c r="K38" s="10" t="s">
        <v>13</v>
      </c>
      <c r="L38" s="10" t="s">
        <v>13</v>
      </c>
      <c r="M38" s="10" t="s">
        <v>13</v>
      </c>
      <c r="N38" s="10" t="s">
        <v>13</v>
      </c>
      <c r="O38" s="17" t="s">
        <v>13</v>
      </c>
    </row>
    <row r="39" spans="1:15" ht="16">
      <c r="A39" s="16" t="s">
        <v>13</v>
      </c>
      <c r="B39" s="8" t="s">
        <v>121</v>
      </c>
      <c r="C39" s="8" t="s">
        <v>13</v>
      </c>
      <c r="D39" s="8" t="s">
        <v>13</v>
      </c>
      <c r="E39" s="8" t="s">
        <v>13</v>
      </c>
      <c r="F39" s="8" t="s">
        <v>13</v>
      </c>
      <c r="G39" s="8" t="s">
        <v>13</v>
      </c>
      <c r="H39" s="8" t="s">
        <v>13</v>
      </c>
      <c r="I39" s="8" t="s">
        <v>13</v>
      </c>
      <c r="J39" s="9"/>
      <c r="K39" s="10" t="s">
        <v>13</v>
      </c>
      <c r="L39" s="10" t="s">
        <v>13</v>
      </c>
      <c r="M39" s="10" t="s">
        <v>13</v>
      </c>
      <c r="N39" s="10" t="s">
        <v>13</v>
      </c>
      <c r="O39" s="17" t="s">
        <v>13</v>
      </c>
    </row>
    <row r="40" spans="1:15" ht="16">
      <c r="A40" s="16" t="s">
        <v>13</v>
      </c>
      <c r="B40" s="8" t="s">
        <v>122</v>
      </c>
      <c r="C40" s="8" t="s">
        <v>13</v>
      </c>
      <c r="D40" s="8" t="s">
        <v>13</v>
      </c>
      <c r="E40" s="8" t="s">
        <v>13</v>
      </c>
      <c r="F40" s="8" t="s">
        <v>13</v>
      </c>
      <c r="G40" s="8" t="s">
        <v>13</v>
      </c>
      <c r="H40" s="8" t="s">
        <v>13</v>
      </c>
      <c r="I40" s="8" t="s">
        <v>13</v>
      </c>
      <c r="J40" s="9"/>
      <c r="K40" s="10" t="s">
        <v>13</v>
      </c>
      <c r="L40" s="10" t="s">
        <v>13</v>
      </c>
      <c r="M40" s="10" t="s">
        <v>13</v>
      </c>
      <c r="N40" s="10" t="s">
        <v>13</v>
      </c>
      <c r="O40" s="17" t="s">
        <v>13</v>
      </c>
    </row>
    <row r="41" spans="1:15" ht="64">
      <c r="A41" s="16">
        <v>4</v>
      </c>
      <c r="B41" s="8" t="s">
        <v>123</v>
      </c>
      <c r="C41" s="8">
        <v>0.52</v>
      </c>
      <c r="D41" s="8">
        <v>0.7</v>
      </c>
      <c r="E41" s="8">
        <v>0.64</v>
      </c>
      <c r="F41" s="8">
        <v>0.54</v>
      </c>
      <c r="G41" s="8">
        <v>2.4</v>
      </c>
      <c r="H41" s="8">
        <v>0.2</v>
      </c>
      <c r="I41" s="8">
        <v>2.6</v>
      </c>
      <c r="J41" s="9">
        <f t="shared" si="0"/>
        <v>6.0666666666666673</v>
      </c>
      <c r="K41" s="10" t="s">
        <v>124</v>
      </c>
      <c r="L41" s="10" t="s">
        <v>125</v>
      </c>
      <c r="M41" s="10" t="s">
        <v>126</v>
      </c>
      <c r="N41" s="10" t="s">
        <v>127</v>
      </c>
      <c r="O41" s="17" t="s">
        <v>128</v>
      </c>
    </row>
    <row r="42" spans="1:15" ht="16">
      <c r="A42" s="16" t="s">
        <v>13</v>
      </c>
      <c r="B42" s="8" t="s">
        <v>129</v>
      </c>
      <c r="C42" s="8" t="s">
        <v>13</v>
      </c>
      <c r="D42" s="8" t="s">
        <v>13</v>
      </c>
      <c r="E42" s="8" t="s">
        <v>13</v>
      </c>
      <c r="F42" s="8" t="s">
        <v>13</v>
      </c>
      <c r="G42" s="8" t="s">
        <v>13</v>
      </c>
      <c r="H42" s="8" t="s">
        <v>13</v>
      </c>
      <c r="I42" s="8" t="s">
        <v>13</v>
      </c>
      <c r="J42" s="9"/>
      <c r="K42" s="10" t="s">
        <v>13</v>
      </c>
      <c r="L42" s="10" t="s">
        <v>13</v>
      </c>
      <c r="M42" s="10" t="s">
        <v>13</v>
      </c>
      <c r="N42" s="10" t="s">
        <v>13</v>
      </c>
      <c r="O42" s="17" t="s">
        <v>13</v>
      </c>
    </row>
    <row r="43" spans="1:15" ht="16">
      <c r="A43" s="16" t="s">
        <v>13</v>
      </c>
      <c r="B43" s="8" t="s">
        <v>130</v>
      </c>
      <c r="C43" s="8" t="s">
        <v>13</v>
      </c>
      <c r="D43" s="8" t="s">
        <v>13</v>
      </c>
      <c r="E43" s="8" t="s">
        <v>13</v>
      </c>
      <c r="F43" s="8" t="s">
        <v>13</v>
      </c>
      <c r="G43" s="8" t="s">
        <v>13</v>
      </c>
      <c r="H43" s="8" t="s">
        <v>13</v>
      </c>
      <c r="I43" s="8" t="s">
        <v>13</v>
      </c>
      <c r="J43" s="9"/>
      <c r="K43" s="10" t="s">
        <v>13</v>
      </c>
      <c r="L43" s="10" t="s">
        <v>13</v>
      </c>
      <c r="M43" s="10" t="s">
        <v>13</v>
      </c>
      <c r="N43" s="10" t="s">
        <v>13</v>
      </c>
      <c r="O43" s="17" t="s">
        <v>13</v>
      </c>
    </row>
    <row r="44" spans="1:15" ht="16">
      <c r="A44" s="16" t="s">
        <v>13</v>
      </c>
      <c r="B44" s="8" t="s">
        <v>131</v>
      </c>
      <c r="C44" s="8" t="s">
        <v>13</v>
      </c>
      <c r="D44" s="8" t="s">
        <v>13</v>
      </c>
      <c r="E44" s="8" t="s">
        <v>13</v>
      </c>
      <c r="F44" s="8" t="s">
        <v>13</v>
      </c>
      <c r="G44" s="8" t="s">
        <v>13</v>
      </c>
      <c r="H44" s="8" t="s">
        <v>13</v>
      </c>
      <c r="I44" s="8" t="s">
        <v>13</v>
      </c>
      <c r="J44" s="9"/>
      <c r="K44" s="10" t="s">
        <v>13</v>
      </c>
      <c r="L44" s="10" t="s">
        <v>13</v>
      </c>
      <c r="M44" s="10" t="s">
        <v>13</v>
      </c>
      <c r="N44" s="10" t="s">
        <v>13</v>
      </c>
      <c r="O44" s="17" t="s">
        <v>13</v>
      </c>
    </row>
    <row r="45" spans="1:15" ht="16">
      <c r="A45" s="16" t="s">
        <v>13</v>
      </c>
      <c r="B45" s="8" t="s">
        <v>132</v>
      </c>
      <c r="C45" s="8" t="s">
        <v>13</v>
      </c>
      <c r="D45" s="8" t="s">
        <v>13</v>
      </c>
      <c r="E45" s="8" t="s">
        <v>13</v>
      </c>
      <c r="F45" s="8" t="s">
        <v>13</v>
      </c>
      <c r="G45" s="8" t="s">
        <v>13</v>
      </c>
      <c r="H45" s="8" t="s">
        <v>13</v>
      </c>
      <c r="I45" s="8" t="s">
        <v>13</v>
      </c>
      <c r="J45" s="9"/>
      <c r="K45" s="10" t="s">
        <v>13</v>
      </c>
      <c r="L45" s="10" t="s">
        <v>13</v>
      </c>
      <c r="M45" s="10" t="s">
        <v>13</v>
      </c>
      <c r="N45" s="10" t="s">
        <v>13</v>
      </c>
      <c r="O45" s="17" t="s">
        <v>13</v>
      </c>
    </row>
    <row r="46" spans="1:15" ht="64">
      <c r="A46" s="16">
        <v>15</v>
      </c>
      <c r="B46" s="8" t="s">
        <v>133</v>
      </c>
      <c r="C46" s="8">
        <v>0.24</v>
      </c>
      <c r="D46" s="8">
        <v>0.54</v>
      </c>
      <c r="E46" s="8">
        <v>0.54</v>
      </c>
      <c r="F46" s="8">
        <v>0.54</v>
      </c>
      <c r="G46" s="8">
        <v>1.86</v>
      </c>
      <c r="H46" s="8">
        <v>0.1</v>
      </c>
      <c r="I46" s="8">
        <v>1.96</v>
      </c>
      <c r="J46" s="9">
        <f t="shared" si="0"/>
        <v>4.5733333333333333</v>
      </c>
      <c r="K46" s="10" t="s">
        <v>134</v>
      </c>
      <c r="L46" s="10" t="s">
        <v>135</v>
      </c>
      <c r="M46" s="10" t="s">
        <v>136</v>
      </c>
      <c r="N46" s="10" t="s">
        <v>137</v>
      </c>
      <c r="O46" s="17" t="s">
        <v>138</v>
      </c>
    </row>
    <row r="47" spans="1:15" ht="16">
      <c r="A47" s="16" t="s">
        <v>13</v>
      </c>
      <c r="B47" s="8" t="s">
        <v>139</v>
      </c>
      <c r="C47" s="8" t="s">
        <v>13</v>
      </c>
      <c r="D47" s="8" t="s">
        <v>13</v>
      </c>
      <c r="E47" s="8" t="s">
        <v>13</v>
      </c>
      <c r="F47" s="8" t="s">
        <v>13</v>
      </c>
      <c r="G47" s="8" t="s">
        <v>13</v>
      </c>
      <c r="H47" s="8" t="s">
        <v>13</v>
      </c>
      <c r="I47" s="8" t="s">
        <v>13</v>
      </c>
      <c r="J47" s="9"/>
      <c r="K47" s="10" t="s">
        <v>13</v>
      </c>
      <c r="L47" s="10" t="s">
        <v>13</v>
      </c>
      <c r="M47" s="10" t="s">
        <v>13</v>
      </c>
      <c r="N47" s="10" t="s">
        <v>13</v>
      </c>
      <c r="O47" s="17" t="s">
        <v>13</v>
      </c>
    </row>
    <row r="48" spans="1:15" ht="64">
      <c r="A48" s="16">
        <v>17</v>
      </c>
      <c r="B48" s="8" t="s">
        <v>146</v>
      </c>
      <c r="C48" s="8">
        <v>0.4</v>
      </c>
      <c r="D48" s="8">
        <v>0.54</v>
      </c>
      <c r="E48" s="8">
        <v>0.36</v>
      </c>
      <c r="F48" s="8">
        <v>0.48</v>
      </c>
      <c r="G48" s="8">
        <v>1.78</v>
      </c>
      <c r="H48" s="8">
        <v>0.1</v>
      </c>
      <c r="I48" s="8">
        <v>1.88</v>
      </c>
      <c r="J48" s="9">
        <f t="shared" si="0"/>
        <v>4.3866666666666667</v>
      </c>
      <c r="K48" s="10" t="s">
        <v>147</v>
      </c>
      <c r="L48" s="10" t="s">
        <v>148</v>
      </c>
      <c r="M48" s="10" t="s">
        <v>149</v>
      </c>
      <c r="N48" s="10" t="s">
        <v>150</v>
      </c>
      <c r="O48" s="17" t="s">
        <v>151</v>
      </c>
    </row>
    <row r="49" spans="1:15" ht="64">
      <c r="A49" s="16">
        <v>20</v>
      </c>
      <c r="B49" s="8" t="s">
        <v>152</v>
      </c>
      <c r="C49" s="8">
        <v>0.4</v>
      </c>
      <c r="D49" s="8">
        <v>0.48</v>
      </c>
      <c r="E49" s="8">
        <v>0.36</v>
      </c>
      <c r="F49" s="8">
        <v>0.44</v>
      </c>
      <c r="G49" s="8">
        <v>1.68</v>
      </c>
      <c r="H49" s="8">
        <v>0.1</v>
      </c>
      <c r="I49" s="8">
        <v>1.78</v>
      </c>
      <c r="J49" s="9">
        <f t="shared" si="0"/>
        <v>4.1533333333333333</v>
      </c>
      <c r="K49" s="10" t="s">
        <v>153</v>
      </c>
      <c r="L49" s="10" t="s">
        <v>154</v>
      </c>
      <c r="M49" s="10" t="s">
        <v>155</v>
      </c>
      <c r="N49" s="10" t="s">
        <v>156</v>
      </c>
      <c r="O49" s="17" t="s">
        <v>157</v>
      </c>
    </row>
    <row r="50" spans="1:15" ht="64">
      <c r="A50" s="16">
        <v>23</v>
      </c>
      <c r="B50" s="8" t="s">
        <v>158</v>
      </c>
      <c r="C50" s="8">
        <v>0.4</v>
      </c>
      <c r="D50" s="8">
        <v>0.48</v>
      </c>
      <c r="E50" s="8">
        <v>0.36</v>
      </c>
      <c r="F50" s="8">
        <v>0.16</v>
      </c>
      <c r="G50" s="8">
        <v>1.4</v>
      </c>
      <c r="H50" s="8">
        <v>0.1</v>
      </c>
      <c r="I50" s="8">
        <v>1.5</v>
      </c>
      <c r="J50" s="9">
        <f t="shared" si="0"/>
        <v>3.5</v>
      </c>
      <c r="K50" s="10" t="s">
        <v>159</v>
      </c>
      <c r="L50" s="10" t="s">
        <v>160</v>
      </c>
      <c r="M50" s="10" t="s">
        <v>161</v>
      </c>
      <c r="N50" s="10" t="s">
        <v>162</v>
      </c>
      <c r="O50" s="17" t="s">
        <v>163</v>
      </c>
    </row>
    <row r="51" spans="1:15" ht="64">
      <c r="A51" s="16">
        <v>26</v>
      </c>
      <c r="B51" s="8" t="s">
        <v>164</v>
      </c>
      <c r="C51" s="8">
        <v>0.36</v>
      </c>
      <c r="D51" s="8">
        <v>0</v>
      </c>
      <c r="E51" s="8">
        <v>0</v>
      </c>
      <c r="F51" s="8">
        <v>0</v>
      </c>
      <c r="G51" s="8">
        <v>0.36</v>
      </c>
      <c r="H51" s="8">
        <v>0</v>
      </c>
      <c r="I51" s="8">
        <v>0.36</v>
      </c>
      <c r="J51" s="9">
        <f t="shared" si="0"/>
        <v>0.84</v>
      </c>
      <c r="K51" s="10" t="s">
        <v>165</v>
      </c>
      <c r="L51" s="10" t="s">
        <v>166</v>
      </c>
      <c r="M51" s="10" t="s">
        <v>167</v>
      </c>
      <c r="N51" s="10" t="s">
        <v>168</v>
      </c>
      <c r="O51" s="17" t="s">
        <v>169</v>
      </c>
    </row>
    <row r="52" spans="1:15" ht="16">
      <c r="A52" s="16" t="s">
        <v>13</v>
      </c>
      <c r="B52" s="8" t="s">
        <v>170</v>
      </c>
      <c r="C52" s="8" t="s">
        <v>13</v>
      </c>
      <c r="D52" s="8" t="s">
        <v>13</v>
      </c>
      <c r="E52" s="8" t="s">
        <v>13</v>
      </c>
      <c r="F52" s="8" t="s">
        <v>13</v>
      </c>
      <c r="G52" s="8" t="s">
        <v>13</v>
      </c>
      <c r="H52" s="8" t="s">
        <v>13</v>
      </c>
      <c r="I52" s="8" t="s">
        <v>13</v>
      </c>
      <c r="J52" s="9"/>
      <c r="K52" s="10" t="s">
        <v>13</v>
      </c>
      <c r="L52" s="10" t="s">
        <v>13</v>
      </c>
      <c r="M52" s="10" t="s">
        <v>13</v>
      </c>
      <c r="N52" s="10" t="s">
        <v>13</v>
      </c>
      <c r="O52" s="17" t="s">
        <v>13</v>
      </c>
    </row>
    <row r="53" spans="1:15" ht="64">
      <c r="A53" s="16">
        <v>10</v>
      </c>
      <c r="B53" s="8" t="s">
        <v>171</v>
      </c>
      <c r="C53" s="8">
        <v>0.4</v>
      </c>
      <c r="D53" s="8">
        <v>0.54</v>
      </c>
      <c r="E53" s="8">
        <v>0.48</v>
      </c>
      <c r="F53" s="8">
        <v>0.64</v>
      </c>
      <c r="G53" s="8">
        <v>2.06</v>
      </c>
      <c r="H53" s="8">
        <v>0.1</v>
      </c>
      <c r="I53" s="8">
        <v>2.16</v>
      </c>
      <c r="J53" s="9">
        <f t="shared" si="0"/>
        <v>5.0400000000000009</v>
      </c>
      <c r="K53" s="10" t="s">
        <v>172</v>
      </c>
      <c r="L53" s="10" t="s">
        <v>173</v>
      </c>
      <c r="M53" s="10" t="s">
        <v>174</v>
      </c>
      <c r="N53" s="10" t="s">
        <v>175</v>
      </c>
      <c r="O53" s="17" t="s">
        <v>176</v>
      </c>
    </row>
    <row r="54" spans="1:15" ht="64">
      <c r="A54" s="16">
        <v>11</v>
      </c>
      <c r="B54" s="8" t="s">
        <v>177</v>
      </c>
      <c r="C54" s="8">
        <v>0.44</v>
      </c>
      <c r="D54" s="8">
        <v>0.57999999999999996</v>
      </c>
      <c r="E54" s="8">
        <v>0.56000000000000005</v>
      </c>
      <c r="F54" s="8">
        <v>0.48</v>
      </c>
      <c r="G54" s="8">
        <v>2.06</v>
      </c>
      <c r="H54" s="8">
        <v>0.1</v>
      </c>
      <c r="I54" s="8">
        <v>2.16</v>
      </c>
      <c r="J54" s="9">
        <f t="shared" si="0"/>
        <v>5.0400000000000009</v>
      </c>
      <c r="K54" s="10" t="s">
        <v>178</v>
      </c>
      <c r="L54" s="10" t="s">
        <v>179</v>
      </c>
      <c r="M54" s="10" t="s">
        <v>180</v>
      </c>
      <c r="N54" s="10" t="s">
        <v>181</v>
      </c>
      <c r="O54" s="17" t="s">
        <v>182</v>
      </c>
    </row>
    <row r="55" spans="1:15" ht="64">
      <c r="A55" s="16">
        <v>5</v>
      </c>
      <c r="B55" s="8" t="s">
        <v>183</v>
      </c>
      <c r="C55" s="8">
        <v>0.48</v>
      </c>
      <c r="D55" s="8">
        <v>0.64</v>
      </c>
      <c r="E55" s="8">
        <v>0.6</v>
      </c>
      <c r="F55" s="8">
        <v>0.68</v>
      </c>
      <c r="G55" s="8">
        <v>2.4</v>
      </c>
      <c r="H55" s="8">
        <v>0.2</v>
      </c>
      <c r="I55" s="8">
        <v>2.6</v>
      </c>
      <c r="J55" s="9">
        <f t="shared" si="0"/>
        <v>6.0666666666666673</v>
      </c>
      <c r="K55" s="10" t="s">
        <v>184</v>
      </c>
      <c r="L55" s="10" t="s">
        <v>185</v>
      </c>
      <c r="M55" s="10" t="s">
        <v>186</v>
      </c>
      <c r="N55" s="10" t="s">
        <v>187</v>
      </c>
      <c r="O55" s="17" t="s">
        <v>188</v>
      </c>
    </row>
    <row r="56" spans="1:15" ht="80">
      <c r="A56" s="16">
        <v>22</v>
      </c>
      <c r="B56" s="8" t="s">
        <v>189</v>
      </c>
      <c r="C56" s="8">
        <v>0.44</v>
      </c>
      <c r="D56" s="8">
        <v>0.57999999999999996</v>
      </c>
      <c r="E56" s="8">
        <v>0.48</v>
      </c>
      <c r="F56" s="8">
        <v>0</v>
      </c>
      <c r="G56" s="8">
        <v>1.5</v>
      </c>
      <c r="H56" s="8">
        <v>0.1</v>
      </c>
      <c r="I56" s="8">
        <v>1.6</v>
      </c>
      <c r="J56" s="9">
        <f t="shared" si="0"/>
        <v>3.7333333333333338</v>
      </c>
      <c r="K56" s="10" t="s">
        <v>190</v>
      </c>
      <c r="L56" s="10" t="s">
        <v>191</v>
      </c>
      <c r="M56" s="10" t="s">
        <v>192</v>
      </c>
      <c r="N56" s="10" t="s">
        <v>193</v>
      </c>
      <c r="O56" s="17" t="s">
        <v>194</v>
      </c>
    </row>
    <row r="57" spans="1:15" ht="64">
      <c r="A57" s="16">
        <v>18</v>
      </c>
      <c r="B57" s="8" t="s">
        <v>195</v>
      </c>
      <c r="C57" s="8">
        <v>0.24</v>
      </c>
      <c r="D57" s="8">
        <v>0.64</v>
      </c>
      <c r="E57" s="8">
        <v>0.7</v>
      </c>
      <c r="F57" s="8">
        <v>0.2</v>
      </c>
      <c r="G57" s="8">
        <v>1.78</v>
      </c>
      <c r="H57" s="8">
        <v>0.1</v>
      </c>
      <c r="I57" s="8">
        <v>1.88</v>
      </c>
      <c r="J57" s="9">
        <f t="shared" si="0"/>
        <v>4.3866666666666667</v>
      </c>
      <c r="K57" s="10" t="s">
        <v>196</v>
      </c>
      <c r="L57" s="10" t="s">
        <v>197</v>
      </c>
      <c r="M57" s="10" t="s">
        <v>198</v>
      </c>
      <c r="N57" s="10" t="s">
        <v>199</v>
      </c>
      <c r="O57" s="17" t="s">
        <v>200</v>
      </c>
    </row>
    <row r="58" spans="1:15" ht="65" thickBot="1">
      <c r="A58" s="18">
        <v>3</v>
      </c>
      <c r="B58" s="19" t="s">
        <v>201</v>
      </c>
      <c r="C58" s="19">
        <v>0.52</v>
      </c>
      <c r="D58" s="19">
        <v>0.7</v>
      </c>
      <c r="E58" s="19">
        <v>0.64</v>
      </c>
      <c r="F58" s="19">
        <v>0.57999999999999996</v>
      </c>
      <c r="G58" s="19">
        <v>2.44</v>
      </c>
      <c r="H58" s="19">
        <v>0.2</v>
      </c>
      <c r="I58" s="19">
        <v>2.64</v>
      </c>
      <c r="J58" s="20">
        <f t="shared" si="0"/>
        <v>6.160000000000001</v>
      </c>
      <c r="K58" s="21" t="s">
        <v>202</v>
      </c>
      <c r="L58" s="21" t="s">
        <v>203</v>
      </c>
      <c r="M58" s="21" t="s">
        <v>204</v>
      </c>
      <c r="N58" s="21" t="s">
        <v>205</v>
      </c>
      <c r="O58" s="22" t="s">
        <v>206</v>
      </c>
    </row>
    <row r="63" spans="1:15" s="29" customFormat="1" ht="64">
      <c r="A63" s="24">
        <v>7</v>
      </c>
      <c r="B63" s="23" t="s">
        <v>140</v>
      </c>
      <c r="C63" s="25">
        <v>0.48</v>
      </c>
      <c r="D63" s="25">
        <v>0.64</v>
      </c>
      <c r="E63" s="25">
        <v>0.6</v>
      </c>
      <c r="F63" s="25">
        <v>0.54</v>
      </c>
      <c r="G63" s="25">
        <v>2.2599999999999998</v>
      </c>
      <c r="H63" s="25">
        <v>0.2</v>
      </c>
      <c r="I63" s="25">
        <v>2.46</v>
      </c>
      <c r="J63" s="26">
        <f>I63*(7/3)</f>
        <v>5.74</v>
      </c>
      <c r="K63" s="27" t="s">
        <v>141</v>
      </c>
      <c r="L63" s="27" t="s">
        <v>142</v>
      </c>
      <c r="M63" s="27" t="s">
        <v>143</v>
      </c>
      <c r="N63" s="27" t="s">
        <v>144</v>
      </c>
      <c r="O63" s="28" t="s">
        <v>145</v>
      </c>
    </row>
  </sheetData>
  <phoneticPr fontId="1"/>
  <pageMargins left="0.7" right="0.7" top="0.75" bottom="0.75" header="0.3" footer="0.3"/>
  <pageSetup paperSize="9" scale="34" fitToHeight="2" orientation="landscape" horizontalDpi="0" verticalDpi="0"/>
  <ignoredErrors>
    <ignoredError sqref="A1:B47 C2:I2 K1:O47 C1:H1 C4:I47 C3:F3 H3:I3 A48:B58 K48:O58 C48:I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sheetViews>
  <sheetFormatPr baseColWidth="10" defaultRowHeight="15"/>
  <sheetData>
    <row r="1" spans="1:5">
      <c r="A1" t="s">
        <v>207</v>
      </c>
      <c r="B1" t="s">
        <v>208</v>
      </c>
      <c r="C1" t="s">
        <v>209</v>
      </c>
      <c r="D1" t="s">
        <v>210</v>
      </c>
      <c r="E1" t="s">
        <v>211</v>
      </c>
    </row>
    <row r="2" spans="1:5">
      <c r="A2">
        <v>1</v>
      </c>
      <c r="B2" t="s">
        <v>212</v>
      </c>
      <c r="C2" t="s">
        <v>213</v>
      </c>
      <c r="D2">
        <v>0.6</v>
      </c>
      <c r="E2" t="s">
        <v>214</v>
      </c>
    </row>
    <row r="3" spans="1:5">
      <c r="A3">
        <v>2</v>
      </c>
      <c r="B3" t="s">
        <v>215</v>
      </c>
      <c r="C3" t="s">
        <v>216</v>
      </c>
      <c r="D3">
        <v>0.8</v>
      </c>
      <c r="E3" t="s">
        <v>217</v>
      </c>
    </row>
    <row r="4" spans="1:5">
      <c r="A4">
        <v>3</v>
      </c>
      <c r="B4" t="s">
        <v>218</v>
      </c>
      <c r="C4" t="s">
        <v>216</v>
      </c>
      <c r="D4">
        <v>0.8</v>
      </c>
      <c r="E4" t="s">
        <v>219</v>
      </c>
    </row>
    <row r="5" spans="1:5">
      <c r="A5">
        <v>4</v>
      </c>
      <c r="B5" t="s">
        <v>220</v>
      </c>
      <c r="C5" t="s">
        <v>221</v>
      </c>
      <c r="D5">
        <v>0.8</v>
      </c>
      <c r="E5" t="s">
        <v>222</v>
      </c>
    </row>
  </sheetData>
  <phoneticPr fontId="1"/>
  <pageMargins left="0.7" right="0.7" top="0.75" bottom="0.75" header="0.3" footer="0.3"/>
  <pageSetup paperSize="9" orientation="portrait" horizontalDpi="0" verticalDpi="0"/>
  <ignoredErrors>
    <ignoredError sqref="A1:E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223</v>
      </c>
      <c r="B1" t="s">
        <v>224</v>
      </c>
    </row>
    <row r="2" spans="1:2">
      <c r="A2" t="s">
        <v>225</v>
      </c>
      <c r="B2">
        <v>58</v>
      </c>
    </row>
    <row r="3" spans="1:2">
      <c r="A3" t="s">
        <v>226</v>
      </c>
      <c r="B3">
        <v>27</v>
      </c>
    </row>
    <row r="4" spans="1:2">
      <c r="A4" t="s">
        <v>227</v>
      </c>
      <c r="B4">
        <v>31</v>
      </c>
    </row>
    <row r="5" spans="1:2">
      <c r="A5" t="s">
        <v>228</v>
      </c>
      <c r="B5">
        <v>1.9</v>
      </c>
    </row>
    <row r="6" spans="1:2">
      <c r="A6" t="s">
        <v>229</v>
      </c>
      <c r="B6">
        <v>3.2</v>
      </c>
    </row>
    <row r="7" spans="1:2">
      <c r="A7" t="s">
        <v>230</v>
      </c>
      <c r="B7">
        <v>0</v>
      </c>
    </row>
    <row r="8" spans="1:2">
      <c r="A8" t="s">
        <v>231</v>
      </c>
      <c r="B8">
        <v>0.13</v>
      </c>
    </row>
    <row r="9" spans="1:2">
      <c r="A9" t="s">
        <v>232</v>
      </c>
      <c r="B9">
        <v>23</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2025-11-02T11:31:22Z</cp:lastPrinted>
  <dcterms:created xsi:type="dcterms:W3CDTF">2025-11-02T10:16:40Z</dcterms:created>
  <dcterms:modified xsi:type="dcterms:W3CDTF">2025-11-02T11:31:28Z</dcterms:modified>
</cp:coreProperties>
</file>